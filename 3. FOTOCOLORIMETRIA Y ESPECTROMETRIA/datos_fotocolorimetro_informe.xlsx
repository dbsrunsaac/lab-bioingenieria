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3. FOTOCOLORIMETRIA Y ESPECTROMETRIA\"/>
    </mc:Choice>
  </mc:AlternateContent>
  <xr:revisionPtr revIDLastSave="0" documentId="13_ncr:1_{F9AADCAC-CC6A-4DE9-89F0-0AF656A9998C}" xr6:coauthVersionLast="47" xr6:coauthVersionMax="47" xr10:uidLastSave="{00000000-0000-0000-0000-000000000000}"/>
  <bookViews>
    <workbookView xWindow="11520" yWindow="456" windowWidth="11520" windowHeight="12504" activeTab="4" xr2:uid="{B88CB588-FB2D-4BAD-AF1F-60019E369312}"/>
  </bookViews>
  <sheets>
    <sheet name="AMARILLO" sheetId="1" r:id="rId1"/>
    <sheet name="VERDE" sheetId="2" r:id="rId2"/>
    <sheet name="AZUL" sheetId="3" r:id="rId3"/>
    <sheet name="NEUTRO" sheetId="4" r:id="rId4"/>
    <sheet name="COMPARAC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Q5" i="1"/>
  <c r="E5" i="3" l="1"/>
  <c r="E6" i="3"/>
  <c r="E4" i="3"/>
  <c r="A10" i="1"/>
  <c r="A11" i="1"/>
  <c r="A12" i="1"/>
  <c r="E11" i="1"/>
  <c r="E12" i="1"/>
  <c r="E10" i="1"/>
  <c r="C11" i="1"/>
  <c r="C12" i="1"/>
  <c r="C10" i="1"/>
  <c r="D11" i="1"/>
  <c r="D12" i="1"/>
  <c r="D10" i="1"/>
  <c r="D5" i="1"/>
  <c r="E5" i="1" s="1"/>
  <c r="D6" i="1"/>
  <c r="D4" i="1"/>
  <c r="E4" i="1"/>
  <c r="E6" i="1"/>
  <c r="C6" i="1"/>
  <c r="C5" i="1"/>
  <c r="C4" i="1"/>
  <c r="C18" i="1"/>
  <c r="D18" i="1" s="1"/>
  <c r="E18" i="1" s="1"/>
  <c r="E17" i="1"/>
  <c r="F6" i="1"/>
  <c r="K6" i="1"/>
  <c r="K5" i="1"/>
  <c r="K4" i="1"/>
  <c r="F5" i="1"/>
  <c r="F4" i="1"/>
  <c r="A6" i="1"/>
  <c r="A5" i="1"/>
  <c r="A4" i="1"/>
  <c r="M30" i="3"/>
  <c r="N30" i="3" s="1"/>
  <c r="K30" i="3"/>
  <c r="H30" i="3"/>
  <c r="I30" i="3" s="1"/>
  <c r="F30" i="3"/>
  <c r="C30" i="3"/>
  <c r="D30" i="3" s="1"/>
  <c r="A30" i="3"/>
  <c r="M29" i="3"/>
  <c r="N29" i="3" s="1"/>
  <c r="K29" i="3"/>
  <c r="H29" i="3"/>
  <c r="I29" i="3" s="1"/>
  <c r="F29" i="3"/>
  <c r="C29" i="3"/>
  <c r="D29" i="3" s="1"/>
  <c r="A29" i="3"/>
  <c r="M28" i="3"/>
  <c r="N28" i="3" s="1"/>
  <c r="K28" i="3"/>
  <c r="H28" i="3"/>
  <c r="I28" i="3" s="1"/>
  <c r="F28" i="3"/>
  <c r="C28" i="3"/>
  <c r="D28" i="3" s="1"/>
  <c r="A28" i="3"/>
  <c r="M24" i="3"/>
  <c r="N24" i="3" s="1"/>
  <c r="K24" i="3"/>
  <c r="H24" i="3"/>
  <c r="I24" i="3" s="1"/>
  <c r="F24" i="3"/>
  <c r="C24" i="3"/>
  <c r="D24" i="3" s="1"/>
  <c r="A24" i="3"/>
  <c r="M23" i="3"/>
  <c r="N23" i="3" s="1"/>
  <c r="K23" i="3"/>
  <c r="H23" i="3"/>
  <c r="I23" i="3" s="1"/>
  <c r="F23" i="3"/>
  <c r="C23" i="3"/>
  <c r="D23" i="3" s="1"/>
  <c r="A23" i="3"/>
  <c r="M22" i="3"/>
  <c r="N22" i="3" s="1"/>
  <c r="K22" i="3"/>
  <c r="H22" i="3"/>
  <c r="I22" i="3" s="1"/>
  <c r="F22" i="3"/>
  <c r="C22" i="3"/>
  <c r="D22" i="3" s="1"/>
  <c r="A22" i="3"/>
  <c r="M18" i="3"/>
  <c r="N18" i="3" s="1"/>
  <c r="K18" i="3"/>
  <c r="H18" i="3"/>
  <c r="I18" i="3" s="1"/>
  <c r="F18" i="3"/>
  <c r="C18" i="3"/>
  <c r="D18" i="3" s="1"/>
  <c r="A18" i="3"/>
  <c r="M17" i="3"/>
  <c r="N17" i="3" s="1"/>
  <c r="K17" i="3"/>
  <c r="H17" i="3"/>
  <c r="I17" i="3" s="1"/>
  <c r="F17" i="3"/>
  <c r="C17" i="3"/>
  <c r="D17" i="3" s="1"/>
  <c r="A17" i="3"/>
  <c r="M16" i="3"/>
  <c r="N16" i="3" s="1"/>
  <c r="K16" i="3"/>
  <c r="H16" i="3"/>
  <c r="I16" i="3" s="1"/>
  <c r="F16" i="3"/>
  <c r="C16" i="3"/>
  <c r="D16" i="3" s="1"/>
  <c r="A16" i="3"/>
  <c r="M12" i="3"/>
  <c r="N12" i="3" s="1"/>
  <c r="K12" i="3"/>
  <c r="H12" i="3"/>
  <c r="I12" i="3" s="1"/>
  <c r="F12" i="3"/>
  <c r="C12" i="3"/>
  <c r="D12" i="3" s="1"/>
  <c r="A12" i="3"/>
  <c r="M11" i="3"/>
  <c r="N11" i="3" s="1"/>
  <c r="K11" i="3"/>
  <c r="H11" i="3"/>
  <c r="I11" i="3" s="1"/>
  <c r="F11" i="3"/>
  <c r="D11" i="3"/>
  <c r="C11" i="3"/>
  <c r="A11" i="3"/>
  <c r="M10" i="3"/>
  <c r="N10" i="3" s="1"/>
  <c r="K10" i="3"/>
  <c r="H10" i="3"/>
  <c r="I10" i="3" s="1"/>
  <c r="F10" i="3"/>
  <c r="C10" i="3"/>
  <c r="D10" i="3" s="1"/>
  <c r="A10" i="3"/>
  <c r="M6" i="3"/>
  <c r="N6" i="3" s="1"/>
  <c r="K6" i="3"/>
  <c r="H6" i="3"/>
  <c r="I6" i="3" s="1"/>
  <c r="F6" i="3"/>
  <c r="C6" i="3"/>
  <c r="D6" i="3" s="1"/>
  <c r="A6" i="3"/>
  <c r="M5" i="3"/>
  <c r="N5" i="3" s="1"/>
  <c r="K5" i="3"/>
  <c r="H5" i="3"/>
  <c r="I5" i="3" s="1"/>
  <c r="F5" i="3"/>
  <c r="C5" i="3"/>
  <c r="D5" i="3" s="1"/>
  <c r="A5" i="3"/>
  <c r="M4" i="3"/>
  <c r="N4" i="3" s="1"/>
  <c r="K4" i="3"/>
  <c r="H4" i="3"/>
  <c r="I4" i="3" s="1"/>
  <c r="F4" i="3"/>
  <c r="C4" i="3"/>
  <c r="D4" i="3" s="1"/>
  <c r="A4" i="3"/>
  <c r="N30" i="2"/>
  <c r="M30" i="2"/>
  <c r="K30" i="2"/>
  <c r="H30" i="2"/>
  <c r="I30" i="2" s="1"/>
  <c r="F30" i="2"/>
  <c r="C30" i="2"/>
  <c r="D30" i="2" s="1"/>
  <c r="A30" i="2"/>
  <c r="N29" i="2"/>
  <c r="M29" i="2"/>
  <c r="K29" i="2"/>
  <c r="H29" i="2"/>
  <c r="I29" i="2" s="1"/>
  <c r="F29" i="2"/>
  <c r="C29" i="2"/>
  <c r="D29" i="2" s="1"/>
  <c r="A29" i="2"/>
  <c r="M28" i="2"/>
  <c r="N28" i="2" s="1"/>
  <c r="K28" i="2"/>
  <c r="H28" i="2"/>
  <c r="I28" i="2" s="1"/>
  <c r="F28" i="2"/>
  <c r="C28" i="2"/>
  <c r="D28" i="2" s="1"/>
  <c r="A28" i="2"/>
  <c r="M24" i="2"/>
  <c r="N24" i="2" s="1"/>
  <c r="K24" i="2"/>
  <c r="H24" i="2"/>
  <c r="I24" i="2" s="1"/>
  <c r="F24" i="2"/>
  <c r="C24" i="2"/>
  <c r="D24" i="2" s="1"/>
  <c r="A24" i="2"/>
  <c r="M23" i="2"/>
  <c r="N23" i="2" s="1"/>
  <c r="K23" i="2"/>
  <c r="H23" i="2"/>
  <c r="I23" i="2" s="1"/>
  <c r="F23" i="2"/>
  <c r="C23" i="2"/>
  <c r="D23" i="2" s="1"/>
  <c r="A23" i="2"/>
  <c r="M22" i="2"/>
  <c r="N22" i="2" s="1"/>
  <c r="K22" i="2"/>
  <c r="H22" i="2"/>
  <c r="I22" i="2" s="1"/>
  <c r="F22" i="2"/>
  <c r="C22" i="2"/>
  <c r="D22" i="2" s="1"/>
  <c r="A22" i="2"/>
  <c r="M18" i="2"/>
  <c r="N18" i="2" s="1"/>
  <c r="K18" i="2"/>
  <c r="H18" i="2"/>
  <c r="I18" i="2" s="1"/>
  <c r="F18" i="2"/>
  <c r="C18" i="2"/>
  <c r="D18" i="2" s="1"/>
  <c r="A18" i="2"/>
  <c r="M17" i="2"/>
  <c r="N17" i="2" s="1"/>
  <c r="K17" i="2"/>
  <c r="H17" i="2"/>
  <c r="I17" i="2" s="1"/>
  <c r="F17" i="2"/>
  <c r="C17" i="2"/>
  <c r="D17" i="2" s="1"/>
  <c r="A17" i="2"/>
  <c r="M16" i="2"/>
  <c r="N16" i="2" s="1"/>
  <c r="K16" i="2"/>
  <c r="H16" i="2"/>
  <c r="I16" i="2" s="1"/>
  <c r="F16" i="2"/>
  <c r="C16" i="2"/>
  <c r="D16" i="2" s="1"/>
  <c r="A16" i="2"/>
  <c r="M12" i="2"/>
  <c r="N12" i="2" s="1"/>
  <c r="K12" i="2"/>
  <c r="H12" i="2"/>
  <c r="I12" i="2" s="1"/>
  <c r="F12" i="2"/>
  <c r="C12" i="2"/>
  <c r="D12" i="2" s="1"/>
  <c r="A12" i="2"/>
  <c r="M11" i="2"/>
  <c r="N11" i="2" s="1"/>
  <c r="K11" i="2"/>
  <c r="H11" i="2"/>
  <c r="I11" i="2" s="1"/>
  <c r="F11" i="2"/>
  <c r="C11" i="2"/>
  <c r="D11" i="2" s="1"/>
  <c r="A11" i="2"/>
  <c r="M10" i="2"/>
  <c r="N10" i="2" s="1"/>
  <c r="K10" i="2"/>
  <c r="H10" i="2"/>
  <c r="I10" i="2" s="1"/>
  <c r="F10" i="2"/>
  <c r="C10" i="2"/>
  <c r="D10" i="2" s="1"/>
  <c r="A10" i="2"/>
  <c r="M6" i="2"/>
  <c r="N6" i="2" s="1"/>
  <c r="K6" i="2"/>
  <c r="H6" i="2"/>
  <c r="I6" i="2" s="1"/>
  <c r="F6" i="2"/>
  <c r="C6" i="2"/>
  <c r="D6" i="2" s="1"/>
  <c r="A6" i="2"/>
  <c r="M5" i="2"/>
  <c r="N5" i="2" s="1"/>
  <c r="K5" i="2"/>
  <c r="I5" i="2"/>
  <c r="H5" i="2"/>
  <c r="F5" i="2"/>
  <c r="C5" i="2"/>
  <c r="D5" i="2" s="1"/>
  <c r="A5" i="2"/>
  <c r="M4" i="2"/>
  <c r="N4" i="2" s="1"/>
  <c r="K4" i="2"/>
  <c r="I4" i="2"/>
  <c r="H4" i="2"/>
  <c r="F4" i="2"/>
  <c r="C4" i="2"/>
  <c r="D4" i="2" s="1"/>
  <c r="A4" i="2"/>
  <c r="H4" i="1"/>
  <c r="H5" i="1"/>
  <c r="H6" i="1"/>
  <c r="I6" i="1" s="1"/>
  <c r="M30" i="1"/>
  <c r="N30" i="1" s="1"/>
  <c r="K30" i="1"/>
  <c r="H30" i="1"/>
  <c r="I30" i="1" s="1"/>
  <c r="F30" i="1"/>
  <c r="C30" i="1"/>
  <c r="D30" i="1" s="1"/>
  <c r="A30" i="1"/>
  <c r="M29" i="1"/>
  <c r="N29" i="1" s="1"/>
  <c r="K29" i="1"/>
  <c r="H29" i="1"/>
  <c r="I29" i="1" s="1"/>
  <c r="F29" i="1"/>
  <c r="C29" i="1"/>
  <c r="D29" i="1" s="1"/>
  <c r="A29" i="1"/>
  <c r="M28" i="1"/>
  <c r="N28" i="1" s="1"/>
  <c r="K28" i="1"/>
  <c r="H28" i="1"/>
  <c r="I28" i="1" s="1"/>
  <c r="F28" i="1"/>
  <c r="C28" i="1"/>
  <c r="D28" i="1" s="1"/>
  <c r="A28" i="1"/>
  <c r="M24" i="1"/>
  <c r="N24" i="1" s="1"/>
  <c r="K24" i="1"/>
  <c r="H24" i="1"/>
  <c r="I24" i="1" s="1"/>
  <c r="F24" i="1"/>
  <c r="C24" i="1"/>
  <c r="D24" i="1" s="1"/>
  <c r="A24" i="1"/>
  <c r="M23" i="1"/>
  <c r="N23" i="1" s="1"/>
  <c r="K23" i="1"/>
  <c r="H23" i="1"/>
  <c r="I23" i="1" s="1"/>
  <c r="F23" i="1"/>
  <c r="C23" i="1"/>
  <c r="D23" i="1" s="1"/>
  <c r="A23" i="1"/>
  <c r="M22" i="1"/>
  <c r="N22" i="1" s="1"/>
  <c r="K22" i="1"/>
  <c r="H22" i="1"/>
  <c r="I22" i="1" s="1"/>
  <c r="F22" i="1"/>
  <c r="C22" i="1"/>
  <c r="D22" i="1" s="1"/>
  <c r="A22" i="1"/>
  <c r="M18" i="1"/>
  <c r="N18" i="1" s="1"/>
  <c r="K18" i="1"/>
  <c r="H18" i="1"/>
  <c r="I18" i="1" s="1"/>
  <c r="F18" i="1"/>
  <c r="A18" i="1"/>
  <c r="M17" i="1"/>
  <c r="N17" i="1" s="1"/>
  <c r="K17" i="1"/>
  <c r="H17" i="1"/>
  <c r="I17" i="1" s="1"/>
  <c r="F17" i="1"/>
  <c r="C17" i="1"/>
  <c r="D17" i="1" s="1"/>
  <c r="A17" i="1"/>
  <c r="M16" i="1"/>
  <c r="N16" i="1" s="1"/>
  <c r="K16" i="1"/>
  <c r="H16" i="1"/>
  <c r="I16" i="1" s="1"/>
  <c r="F16" i="1"/>
  <c r="C16" i="1"/>
  <c r="D16" i="1" s="1"/>
  <c r="A16" i="1"/>
  <c r="M12" i="1"/>
  <c r="N12" i="1" s="1"/>
  <c r="K12" i="1"/>
  <c r="H12" i="1"/>
  <c r="I12" i="1" s="1"/>
  <c r="F12" i="1"/>
  <c r="M11" i="1"/>
  <c r="N11" i="1" s="1"/>
  <c r="K11" i="1"/>
  <c r="H11" i="1"/>
  <c r="I11" i="1" s="1"/>
  <c r="F11" i="1"/>
  <c r="M10" i="1"/>
  <c r="N10" i="1" s="1"/>
  <c r="K10" i="1"/>
  <c r="H10" i="1"/>
  <c r="I10" i="1" s="1"/>
  <c r="F10" i="1"/>
  <c r="M6" i="1"/>
  <c r="N6" i="1" s="1"/>
  <c r="M5" i="1"/>
  <c r="N5" i="1" s="1"/>
  <c r="M4" i="1"/>
  <c r="N4" i="1" s="1"/>
  <c r="I5" i="1"/>
  <c r="I4" i="1"/>
</calcChain>
</file>

<file path=xl/sharedStrings.xml><?xml version="1.0" encoding="utf-8"?>
<sst xmlns="http://schemas.openxmlformats.org/spreadsheetml/2006/main" count="257" uniqueCount="37">
  <si>
    <t>Intensidad B</t>
  </si>
  <si>
    <t>mV</t>
  </si>
  <si>
    <r>
      <t>R</t>
    </r>
    <r>
      <rPr>
        <sz val="8"/>
        <color theme="1"/>
        <rFont val="Calibri"/>
        <family val="2"/>
        <scheme val="minor"/>
      </rPr>
      <t>LDR</t>
    </r>
  </si>
  <si>
    <r>
      <t>IR</t>
    </r>
    <r>
      <rPr>
        <sz val="8"/>
        <color theme="1"/>
        <rFont val="Calibri"/>
        <family val="2"/>
        <scheme val="minor"/>
      </rPr>
      <t>LDR</t>
    </r>
  </si>
  <si>
    <t>Calibración [V]</t>
  </si>
  <si>
    <t>LRojo - 10%</t>
  </si>
  <si>
    <t>LVerde - 10%</t>
  </si>
  <si>
    <t>LAzul - 10%</t>
  </si>
  <si>
    <t>LRojo - 25%</t>
  </si>
  <si>
    <t>LVerde - 25%</t>
  </si>
  <si>
    <t>LAzul - 25%</t>
  </si>
  <si>
    <t>LRojo - 50%</t>
  </si>
  <si>
    <t>LVerde - 50%</t>
  </si>
  <si>
    <t>LAzul - 50%</t>
  </si>
  <si>
    <t>LRojo - 75%</t>
  </si>
  <si>
    <t>LVerde - 75%</t>
  </si>
  <si>
    <t>LAzul - 75%</t>
  </si>
  <si>
    <t>LRojo - 100%</t>
  </si>
  <si>
    <t>LVerde - 100%</t>
  </si>
  <si>
    <t>LAzul - 100%</t>
  </si>
  <si>
    <t>Lrojo</t>
  </si>
  <si>
    <t>5ma</t>
  </si>
  <si>
    <t>0.5ma</t>
  </si>
  <si>
    <t>0.05ma</t>
  </si>
  <si>
    <t>Lverde</t>
  </si>
  <si>
    <t>Lazul</t>
  </si>
  <si>
    <t>V [mV]</t>
  </si>
  <si>
    <t>Verde50%</t>
  </si>
  <si>
    <t>Ir</t>
  </si>
  <si>
    <t>Vmedido</t>
  </si>
  <si>
    <t>Neulog</t>
  </si>
  <si>
    <t>Agua destilada</t>
  </si>
  <si>
    <t>Azul 75%</t>
  </si>
  <si>
    <t>Verd</t>
  </si>
  <si>
    <t>Amarillo</t>
  </si>
  <si>
    <t>Verde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</si>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</sst>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8638-202E-40DE-9D3A-9130FBB4D038}">
  <dimension ref="A1:S30"/>
  <sheetViews>
    <sheetView topLeftCell="I1" workbookViewId="0">
      <selection activeCell="R7" sqref="R7"/>
    </sheetView>
  </sheetViews>
  <sheetFormatPr baseColWidth="10" defaultRowHeight="14.4" x14ac:dyDescent="0.3"/>
  <cols>
    <col min="1" max="1" width="13" bestFit="1" customWidth="1"/>
  </cols>
  <sheetData>
    <row r="1" spans="1:19" x14ac:dyDescent="0.3">
      <c r="A1" t="s">
        <v>4</v>
      </c>
      <c r="B1">
        <v>0</v>
      </c>
    </row>
    <row r="2" spans="1:19" x14ac:dyDescent="0.3">
      <c r="A2" s="1" t="s">
        <v>5</v>
      </c>
      <c r="B2" s="2"/>
      <c r="C2" s="2"/>
      <c r="D2" s="2"/>
      <c r="F2" s="1" t="s">
        <v>6</v>
      </c>
      <c r="G2" s="2"/>
      <c r="H2" s="2"/>
      <c r="I2" s="2"/>
      <c r="K2" s="1" t="s">
        <v>7</v>
      </c>
      <c r="L2" s="2"/>
      <c r="M2" s="2"/>
      <c r="N2" s="2"/>
    </row>
    <row r="3" spans="1:19" x14ac:dyDescent="0.3">
      <c r="A3" t="s">
        <v>0</v>
      </c>
      <c r="B3" t="s">
        <v>1</v>
      </c>
      <c r="C3" t="s">
        <v>2</v>
      </c>
      <c r="D3" t="s">
        <v>3</v>
      </c>
      <c r="F3" t="s">
        <v>0</v>
      </c>
      <c r="G3" t="s">
        <v>1</v>
      </c>
      <c r="H3" t="s">
        <v>2</v>
      </c>
      <c r="I3" t="s">
        <v>3</v>
      </c>
      <c r="K3" t="s">
        <v>0</v>
      </c>
      <c r="L3" t="s">
        <v>1</v>
      </c>
      <c r="M3" t="s">
        <v>2</v>
      </c>
      <c r="N3" t="s">
        <v>3</v>
      </c>
    </row>
    <row r="4" spans="1:19" x14ac:dyDescent="0.3">
      <c r="A4">
        <f>5.01*10^-3</f>
        <v>5.0099999999999997E-3</v>
      </c>
      <c r="B4">
        <v>187</v>
      </c>
      <c r="C4">
        <f>(11865*B4*10^-3)/(5-$B$1-B4*10^-3)</f>
        <v>460.99210471639316</v>
      </c>
      <c r="D4">
        <f>5/(11865+C4)</f>
        <v>4.0564686051411711E-4</v>
      </c>
      <c r="E4">
        <f>LOG10(A4/D4)</f>
        <v>1.0916896067432451</v>
      </c>
      <c r="F4">
        <f>5.04*10^-3</f>
        <v>5.0400000000000002E-3</v>
      </c>
      <c r="G4">
        <v>355</v>
      </c>
      <c r="H4">
        <f>(11865*G4*10^-3)/(4.95-$B$1-G4*10^-3)</f>
        <v>916.66485310119674</v>
      </c>
      <c r="I4">
        <f>4.95/(12000+H4)</f>
        <v>3.8322586025846614E-4</v>
      </c>
      <c r="K4">
        <f>5.04*10^-3</f>
        <v>5.0400000000000002E-3</v>
      </c>
      <c r="L4">
        <v>433</v>
      </c>
      <c r="M4">
        <f>(11865*L4*10^-3)/(4.95-$B$1-L4*10^-3)</f>
        <v>1137.3798981624971</v>
      </c>
      <c r="N4">
        <f>4.95/(12000+M4)</f>
        <v>3.7678745978049613E-4</v>
      </c>
      <c r="Q4" t="s">
        <v>27</v>
      </c>
      <c r="R4" t="s">
        <v>28</v>
      </c>
    </row>
    <row r="5" spans="1:19" x14ac:dyDescent="0.3">
      <c r="A5">
        <f>0.51*10^-3</f>
        <v>5.1000000000000004E-4</v>
      </c>
      <c r="B5">
        <v>595</v>
      </c>
      <c r="C5">
        <f>(11865*B5*10^-3)/(5-$B$1-B5*10^-3)</f>
        <v>1602.6503972758228</v>
      </c>
      <c r="D5">
        <f t="shared" ref="D5:D6" si="0">5/(11865+C5)</f>
        <v>3.7126000842815004E-4</v>
      </c>
      <c r="E5">
        <f t="shared" ref="E5:E6" si="1">LOG10(A5/D5)</f>
        <v>0.13789200590322745</v>
      </c>
      <c r="F5">
        <f>0.52*10^-3</f>
        <v>5.2000000000000006E-4</v>
      </c>
      <c r="G5">
        <v>828</v>
      </c>
      <c r="H5">
        <f t="shared" ref="H5:H6" si="2">(11865*G5*10^-3)/(4.95-$B$1-G5*10^-3)</f>
        <v>2383.3624454148471</v>
      </c>
      <c r="I5">
        <f t="shared" ref="I5:I6" si="3">4.95/(12000+H5)</f>
        <v>3.441476232546702E-4</v>
      </c>
      <c r="K5">
        <f>0.53*10^-3</f>
        <v>5.3000000000000009E-4</v>
      </c>
      <c r="L5">
        <v>886</v>
      </c>
      <c r="M5">
        <f t="shared" ref="M5:M6" si="4">(11865*L5*10^-3)/(4.95-$B$1-L5*10^-3)</f>
        <v>2586.7101377952754</v>
      </c>
      <c r="N5">
        <f t="shared" ref="N5:N6" si="5">4.95/(12000+M5)</f>
        <v>3.3934999415489677E-4</v>
      </c>
      <c r="Q5">
        <f>5.01*10^-3</f>
        <v>5.0099999999999997E-3</v>
      </c>
      <c r="R5">
        <v>6.1999999999999999E-6</v>
      </c>
      <c r="S5">
        <f>LOG10(Q5/R5)</f>
        <v>2.907446036368992</v>
      </c>
    </row>
    <row r="6" spans="1:19" x14ac:dyDescent="0.3">
      <c r="A6">
        <f>0.04*10^-3</f>
        <v>4.0000000000000003E-5</v>
      </c>
      <c r="B6">
        <v>1070</v>
      </c>
      <c r="C6">
        <f>(11865*B6*10^-3)/(5-$B$1-B6*10^-3)</f>
        <v>3230.4198473282449</v>
      </c>
      <c r="D6">
        <f t="shared" si="0"/>
        <v>3.3122629582806571E-4</v>
      </c>
      <c r="E6">
        <f t="shared" si="1"/>
        <v>-0.91806481649410643</v>
      </c>
      <c r="F6">
        <f>0.042*10^-3</f>
        <v>4.2000000000000004E-5</v>
      </c>
      <c r="G6">
        <v>1128</v>
      </c>
      <c r="H6">
        <f t="shared" si="2"/>
        <v>3501.7582417582421</v>
      </c>
      <c r="I6">
        <f t="shared" si="3"/>
        <v>3.1931861681765985E-4</v>
      </c>
      <c r="K6">
        <f>0.049*10^-3</f>
        <v>4.9000000000000005E-5</v>
      </c>
      <c r="L6">
        <v>1124</v>
      </c>
      <c r="M6">
        <f t="shared" si="4"/>
        <v>3485.6926293779402</v>
      </c>
      <c r="N6">
        <f t="shared" si="5"/>
        <v>3.1964989351586023E-4</v>
      </c>
    </row>
    <row r="8" spans="1:19" x14ac:dyDescent="0.3">
      <c r="A8" s="1" t="s">
        <v>8</v>
      </c>
      <c r="B8" s="2"/>
      <c r="C8" s="2"/>
      <c r="D8" s="2"/>
      <c r="F8" s="1" t="s">
        <v>9</v>
      </c>
      <c r="G8" s="2"/>
      <c r="H8" s="2"/>
      <c r="I8" s="2"/>
      <c r="K8" s="1" t="s">
        <v>10</v>
      </c>
      <c r="L8" s="2"/>
      <c r="M8" s="2"/>
      <c r="N8" s="2"/>
    </row>
    <row r="9" spans="1:19" x14ac:dyDescent="0.3">
      <c r="A9" t="s">
        <v>0</v>
      </c>
      <c r="B9" t="s">
        <v>1</v>
      </c>
      <c r="C9" t="s">
        <v>2</v>
      </c>
      <c r="D9" t="s">
        <v>3</v>
      </c>
      <c r="F9" t="s">
        <v>0</v>
      </c>
      <c r="G9" t="s">
        <v>1</v>
      </c>
      <c r="H9" t="s">
        <v>2</v>
      </c>
      <c r="I9" t="s">
        <v>3</v>
      </c>
      <c r="K9" t="s">
        <v>0</v>
      </c>
      <c r="L9" t="s">
        <v>1</v>
      </c>
      <c r="M9" t="s">
        <v>2</v>
      </c>
      <c r="N9" t="s">
        <v>3</v>
      </c>
    </row>
    <row r="10" spans="1:19" x14ac:dyDescent="0.3">
      <c r="A10">
        <f>5.01*10^-3</f>
        <v>5.0099999999999997E-3</v>
      </c>
      <c r="B10">
        <v>188</v>
      </c>
      <c r="C10">
        <f>(11865*B10*10^-3)/(5-$B$1-B10*10^-3)</f>
        <v>463.55361596009971</v>
      </c>
      <c r="D10">
        <f>4.95/(11865+C10)</f>
        <v>4.0150695322376738E-4</v>
      </c>
      <c r="E10">
        <f>LOG10(A10/D10)</f>
        <v>1.0961446551552465</v>
      </c>
      <c r="F10">
        <f>5*10^-3</f>
        <v>5.0000000000000001E-3</v>
      </c>
      <c r="G10">
        <v>367</v>
      </c>
      <c r="H10">
        <f>(11865*G10*10^-3)/(4.95-$B$1-G10*10^-3)</f>
        <v>950.13200960069821</v>
      </c>
      <c r="I10">
        <f>4.95/(12000+H10)</f>
        <v>3.8223548581051316E-4</v>
      </c>
      <c r="K10">
        <f>5*10^-3</f>
        <v>5.0000000000000001E-3</v>
      </c>
      <c r="L10">
        <v>668</v>
      </c>
      <c r="M10">
        <f>(11865*L10*10^-3)/(4.95-$B$1-L10*10^-3)</f>
        <v>1850.9621672115834</v>
      </c>
      <c r="N10">
        <f>4.95/(12000+M10)</f>
        <v>3.5737589491925621E-4</v>
      </c>
    </row>
    <row r="11" spans="1:19" x14ac:dyDescent="0.3">
      <c r="A11">
        <f>0.51*10^-3</f>
        <v>5.1000000000000004E-4</v>
      </c>
      <c r="B11">
        <v>635</v>
      </c>
      <c r="C11">
        <f t="shared" ref="C11:C12" si="6">(11865*B11*10^-3)/(5-$B$1-B11*10^-3)</f>
        <v>1726.06529209622</v>
      </c>
      <c r="D11">
        <f t="shared" ref="D11:D12" si="7">4.95/(11865+C11)</f>
        <v>3.6420986093552464E-4</v>
      </c>
      <c r="E11">
        <f t="shared" ref="E11:E12" si="8">LOG10(A11/D11)</f>
        <v>0.14621847601215579</v>
      </c>
      <c r="F11">
        <f>0.5*10^-3</f>
        <v>5.0000000000000001E-4</v>
      </c>
      <c r="G11">
        <v>918</v>
      </c>
      <c r="H11">
        <f t="shared" ref="H11:H12" si="9">(11865*G11*10^-3)/(4.95-$B$1-G11*10^-3)</f>
        <v>2701.40625</v>
      </c>
      <c r="I11">
        <f t="shared" ref="I11:I12" si="10">4.95/(12000+H11)</f>
        <v>3.3670248381851225E-4</v>
      </c>
      <c r="K11">
        <f>0.5*10^-3</f>
        <v>5.0000000000000001E-4</v>
      </c>
      <c r="L11">
        <v>1259</v>
      </c>
      <c r="M11">
        <f t="shared" ref="M11:M12" si="11">(11865*L11*10^-3)/(4.95-$B$1-L11*10^-3)</f>
        <v>4047.1511785424004</v>
      </c>
      <c r="N11">
        <f t="shared" ref="N11:N12" si="12">4.95/(12000+M11)</f>
        <v>3.0846596663331366E-4</v>
      </c>
    </row>
    <row r="12" spans="1:19" x14ac:dyDescent="0.3">
      <c r="A12">
        <f>0.04*10^-3</f>
        <v>4.0000000000000003E-5</v>
      </c>
      <c r="B12">
        <v>1260</v>
      </c>
      <c r="C12">
        <f t="shared" si="6"/>
        <v>3997.2994652406414</v>
      </c>
      <c r="D12">
        <f t="shared" si="7"/>
        <v>3.1206068268015174E-4</v>
      </c>
      <c r="E12">
        <f t="shared" si="8"/>
        <v>-0.8921790629167099</v>
      </c>
      <c r="F12">
        <f>0.05*10^-3</f>
        <v>5.0000000000000002E-5</v>
      </c>
      <c r="G12">
        <v>1331</v>
      </c>
      <c r="H12">
        <f t="shared" si="9"/>
        <v>4363.7234042553191</v>
      </c>
      <c r="I12">
        <f t="shared" si="10"/>
        <v>3.024983909660055E-4</v>
      </c>
      <c r="K12">
        <f>0.05*10^-3</f>
        <v>5.0000000000000002E-5</v>
      </c>
      <c r="L12">
        <v>1382</v>
      </c>
      <c r="M12">
        <f t="shared" si="11"/>
        <v>4595.6922645739915</v>
      </c>
      <c r="N12">
        <f t="shared" si="12"/>
        <v>2.982701728307244E-4</v>
      </c>
    </row>
    <row r="14" spans="1:19" x14ac:dyDescent="0.3">
      <c r="A14" s="1" t="s">
        <v>11</v>
      </c>
      <c r="B14" s="2"/>
      <c r="C14" s="2"/>
      <c r="D14" s="2"/>
      <c r="F14" s="1" t="s">
        <v>12</v>
      </c>
      <c r="G14" s="2"/>
      <c r="H14" s="2"/>
      <c r="I14" s="2"/>
      <c r="K14" s="1" t="s">
        <v>13</v>
      </c>
      <c r="L14" s="2"/>
      <c r="M14" s="2"/>
      <c r="N14" s="2"/>
    </row>
    <row r="15" spans="1:19" x14ac:dyDescent="0.3">
      <c r="A15" t="s">
        <v>0</v>
      </c>
      <c r="B15" t="s">
        <v>1</v>
      </c>
      <c r="C15" t="s">
        <v>2</v>
      </c>
      <c r="D15" t="s">
        <v>3</v>
      </c>
      <c r="F15" t="s">
        <v>0</v>
      </c>
      <c r="G15" t="s">
        <v>1</v>
      </c>
      <c r="H15" t="s">
        <v>2</v>
      </c>
      <c r="I15" t="s">
        <v>3</v>
      </c>
      <c r="K15" t="s">
        <v>0</v>
      </c>
      <c r="L15" t="s">
        <v>1</v>
      </c>
      <c r="M15" t="s">
        <v>2</v>
      </c>
      <c r="N15" t="s">
        <v>3</v>
      </c>
    </row>
    <row r="16" spans="1:19" x14ac:dyDescent="0.3">
      <c r="A16">
        <f>5*10^-3</f>
        <v>5.0000000000000001E-3</v>
      </c>
      <c r="B16">
        <v>187</v>
      </c>
      <c r="C16">
        <f>(11865*B16*10^-3)/(4.95-$B$1-B16*10^-3)</f>
        <v>465.83140877598157</v>
      </c>
      <c r="D16">
        <f>4.95/(12000+C16)</f>
        <v>3.9708542797355545E-4</v>
      </c>
      <c r="F16">
        <f>5*10^-3</f>
        <v>5.0000000000000001E-3</v>
      </c>
      <c r="G16">
        <v>359</v>
      </c>
      <c r="H16">
        <f>(11865*G16*10^-3)/(4.95-$B$1-G16*10^-3)</f>
        <v>927.80113265083855</v>
      </c>
      <c r="I16">
        <f>4.95/(12000+H16)</f>
        <v>3.828957414496525E-4</v>
      </c>
      <c r="K16">
        <f>5*10^-3</f>
        <v>5.0000000000000001E-3</v>
      </c>
      <c r="L16">
        <v>756</v>
      </c>
      <c r="M16">
        <f>(11865*L16*10^-3)/(4.95-$B$1-L16*10^-3)</f>
        <v>2138.755364806867</v>
      </c>
      <c r="N16">
        <f>4.95/(12000+M16)</f>
        <v>3.5010153809727622E-4</v>
      </c>
    </row>
    <row r="17" spans="1:14" x14ac:dyDescent="0.3">
      <c r="A17">
        <f>0.5*10^-3</f>
        <v>5.0000000000000001E-4</v>
      </c>
      <c r="B17">
        <v>587</v>
      </c>
      <c r="C17">
        <f t="shared" ref="C17" si="13">(11865*B17*10^-3)/(4.95-$B$1-B17*10^-3)</f>
        <v>1596.3224845289938</v>
      </c>
      <c r="D17">
        <f t="shared" ref="D17" si="14">4.95/(12000+C17)</f>
        <v>3.6406903452257145E-4</v>
      </c>
      <c r="E17">
        <f>LOG10(A17/D17)</f>
        <v>0.13778626225422677</v>
      </c>
      <c r="F17">
        <f>0.5*10^-3</f>
        <v>5.0000000000000001E-4</v>
      </c>
      <c r="G17">
        <v>805</v>
      </c>
      <c r="H17">
        <f t="shared" ref="H17:H18" si="15">(11865*G17*10^-3)/(4.95-$B$1-G17*10^-3)</f>
        <v>2304.3003618817852</v>
      </c>
      <c r="I17">
        <f t="shared" ref="I17:I18" si="16">4.95/(12000+H17)</f>
        <v>3.4604978046957121E-4</v>
      </c>
      <c r="K17">
        <f>0.5*10^-3</f>
        <v>5.0000000000000001E-4</v>
      </c>
      <c r="L17">
        <v>1042</v>
      </c>
      <c r="M17">
        <f t="shared" ref="M17:M18" si="17">(11865*L17*10^-3)/(4.95-$B$1-L17*10^-3)</f>
        <v>3163.5951893551687</v>
      </c>
      <c r="N17">
        <f t="shared" ref="N17:N18" si="18">4.95/(12000+M17)</f>
        <v>3.2643973531256597E-4</v>
      </c>
    </row>
    <row r="18" spans="1:14" x14ac:dyDescent="0.3">
      <c r="A18">
        <f>0.05*10^-3</f>
        <v>5.0000000000000002E-5</v>
      </c>
      <c r="B18">
        <v>1024</v>
      </c>
      <c r="C18">
        <f>(11865*B18*10^-3)/(5-$B$1-B18*10^-3)</f>
        <v>3055.7746478873241</v>
      </c>
      <c r="D18">
        <f>5/(12000+C18)</f>
        <v>3.3209848825026196E-4</v>
      </c>
      <c r="E18">
        <f>LOG10(A18/D18)</f>
        <v>-0.82229689430944986</v>
      </c>
      <c r="F18">
        <f>0.05*10^-3</f>
        <v>5.0000000000000002E-5</v>
      </c>
      <c r="G18">
        <v>1068</v>
      </c>
      <c r="H18">
        <f t="shared" si="15"/>
        <v>3264.2503863987636</v>
      </c>
      <c r="I18">
        <f t="shared" si="16"/>
        <v>3.2428713331449972E-4</v>
      </c>
      <c r="K18">
        <f>0.05*10^-3</f>
        <v>5.0000000000000002E-5</v>
      </c>
      <c r="L18">
        <v>1110</v>
      </c>
      <c r="M18">
        <f t="shared" si="17"/>
        <v>3429.7265625</v>
      </c>
      <c r="N18">
        <f t="shared" si="18"/>
        <v>3.2080931440679896E-4</v>
      </c>
    </row>
    <row r="20" spans="1:14" x14ac:dyDescent="0.3">
      <c r="A20" s="1" t="s">
        <v>14</v>
      </c>
      <c r="B20" s="2"/>
      <c r="C20" s="2"/>
      <c r="D20" s="2"/>
      <c r="F20" s="1" t="s">
        <v>15</v>
      </c>
      <c r="G20" s="2"/>
      <c r="H20" s="2"/>
      <c r="I20" s="2"/>
      <c r="K20" s="1" t="s">
        <v>16</v>
      </c>
      <c r="L20" s="2"/>
      <c r="M20" s="2"/>
      <c r="N20" s="2"/>
    </row>
    <row r="21" spans="1:14" x14ac:dyDescent="0.3">
      <c r="A21" t="s">
        <v>0</v>
      </c>
      <c r="B21" t="s">
        <v>1</v>
      </c>
      <c r="C21" t="s">
        <v>2</v>
      </c>
      <c r="D21" t="s">
        <v>3</v>
      </c>
      <c r="F21" t="s">
        <v>0</v>
      </c>
      <c r="G21" t="s">
        <v>1</v>
      </c>
      <c r="H21" t="s">
        <v>2</v>
      </c>
      <c r="I21" t="s">
        <v>3</v>
      </c>
      <c r="K21" t="s">
        <v>0</v>
      </c>
      <c r="L21" t="s">
        <v>1</v>
      </c>
      <c r="M21" t="s">
        <v>2</v>
      </c>
      <c r="N21" t="s">
        <v>3</v>
      </c>
    </row>
    <row r="22" spans="1:14" x14ac:dyDescent="0.3">
      <c r="A22">
        <f>5*10^-3</f>
        <v>5.0000000000000001E-3</v>
      </c>
      <c r="B22">
        <v>189</v>
      </c>
      <c r="C22">
        <f>(11865*B22*10^-3)/(4.95-$B$1-B22*10^-3)</f>
        <v>471.01134215500946</v>
      </c>
      <c r="D22">
        <f>4.95/(12000+C22)</f>
        <v>3.9692049539461274E-4</v>
      </c>
      <c r="F22">
        <f>5*10^-3</f>
        <v>5.0000000000000001E-3</v>
      </c>
      <c r="G22">
        <v>366</v>
      </c>
      <c r="H22">
        <f>(11865*G22*10^-3)/(4.95-$B$1-G22*10^-3)</f>
        <v>947.33638743455492</v>
      </c>
      <c r="I22">
        <f>4.95/(12000+H22)</f>
        <v>3.8231801907950711E-4</v>
      </c>
      <c r="K22">
        <f>5*10^-3</f>
        <v>5.0000000000000001E-3</v>
      </c>
      <c r="L22">
        <v>905</v>
      </c>
      <c r="M22">
        <f>(11865*L22*10^-3)/(4.95-$B$1-L22*10^-3)</f>
        <v>2654.5920889987642</v>
      </c>
      <c r="N22">
        <f>4.95/(12000+M22)</f>
        <v>3.3777808143264367E-4</v>
      </c>
    </row>
    <row r="23" spans="1:14" x14ac:dyDescent="0.3">
      <c r="A23">
        <f>0.5*10^-3</f>
        <v>5.0000000000000001E-4</v>
      </c>
      <c r="B23">
        <v>622</v>
      </c>
      <c r="C23">
        <f t="shared" ref="C23:C24" si="19">(11865*B23*10^-3)/(4.95-$B$1-B23*10^-3)</f>
        <v>1705.1825323475045</v>
      </c>
      <c r="D23">
        <f t="shared" ref="D23:D24" si="20">4.95/(12000+C23)</f>
        <v>3.6117723994677329E-4</v>
      </c>
      <c r="F23">
        <f>0.5*10^-3</f>
        <v>5.0000000000000001E-4</v>
      </c>
      <c r="G23">
        <v>869</v>
      </c>
      <c r="H23">
        <f t="shared" ref="H23:H24" si="21">(11865*G23*10^-3)/(4.95-$B$1-G23*10^-3)</f>
        <v>2526.5094339622638</v>
      </c>
      <c r="I23">
        <f t="shared" ref="I23:I24" si="22">4.95/(12000+H23)</f>
        <v>3.4075632707931502E-4</v>
      </c>
      <c r="K23">
        <f>0.5*10^-3</f>
        <v>5.0000000000000001E-4</v>
      </c>
      <c r="L23">
        <v>1210</v>
      </c>
      <c r="M23">
        <f t="shared" ref="M23:M24" si="23">(11865*L23*10^-3)/(4.95-$B$1-L23*10^-3)</f>
        <v>3838.6764705882351</v>
      </c>
      <c r="N23">
        <f t="shared" ref="N23:N24" si="24">4.95/(12000+M23)</f>
        <v>3.1252611347873323E-4</v>
      </c>
    </row>
    <row r="24" spans="1:14" x14ac:dyDescent="0.3">
      <c r="A24">
        <f>0.05*10^-3</f>
        <v>5.0000000000000002E-5</v>
      </c>
      <c r="B24">
        <v>1159</v>
      </c>
      <c r="C24">
        <f t="shared" si="19"/>
        <v>3627.4162490108147</v>
      </c>
      <c r="D24">
        <f t="shared" si="20"/>
        <v>3.1675101764268461E-4</v>
      </c>
      <c r="F24">
        <f>0.05*10^-3</f>
        <v>5.0000000000000002E-5</v>
      </c>
      <c r="G24">
        <v>1213</v>
      </c>
      <c r="H24">
        <f t="shared" si="21"/>
        <v>3851.2831147979664</v>
      </c>
      <c r="I24">
        <f t="shared" si="22"/>
        <v>3.1227755911942087E-4</v>
      </c>
      <c r="K24">
        <f>0.05*10^-3</f>
        <v>5.0000000000000002E-5</v>
      </c>
      <c r="L24">
        <v>1278</v>
      </c>
      <c r="M24">
        <f t="shared" si="23"/>
        <v>4129.4852941176468</v>
      </c>
      <c r="N24">
        <f t="shared" si="24"/>
        <v>3.068913799627099E-4</v>
      </c>
    </row>
    <row r="26" spans="1:14" x14ac:dyDescent="0.3">
      <c r="A26" s="1" t="s">
        <v>17</v>
      </c>
      <c r="B26" s="2"/>
      <c r="C26" s="2"/>
      <c r="D26" s="2"/>
      <c r="F26" s="1" t="s">
        <v>18</v>
      </c>
      <c r="G26" s="2"/>
      <c r="H26" s="2"/>
      <c r="I26" s="2"/>
      <c r="K26" s="1" t="s">
        <v>19</v>
      </c>
      <c r="L26" s="2"/>
      <c r="M26" s="2"/>
      <c r="N26" s="2"/>
    </row>
    <row r="27" spans="1:14" x14ac:dyDescent="0.3">
      <c r="A27" t="s">
        <v>0</v>
      </c>
      <c r="B27" t="s">
        <v>1</v>
      </c>
      <c r="C27" t="s">
        <v>2</v>
      </c>
      <c r="D27" t="s">
        <v>3</v>
      </c>
      <c r="F27" t="s">
        <v>0</v>
      </c>
      <c r="G27" t="s">
        <v>1</v>
      </c>
      <c r="H27" t="s">
        <v>2</v>
      </c>
      <c r="I27" t="s">
        <v>3</v>
      </c>
      <c r="K27" t="s">
        <v>0</v>
      </c>
      <c r="L27" t="s">
        <v>1</v>
      </c>
      <c r="M27" t="s">
        <v>2</v>
      </c>
      <c r="N27" t="s">
        <v>3</v>
      </c>
    </row>
    <row r="28" spans="1:14" x14ac:dyDescent="0.3">
      <c r="A28">
        <f>5*10^-3</f>
        <v>5.0000000000000001E-3</v>
      </c>
      <c r="B28">
        <v>192</v>
      </c>
      <c r="C28">
        <f>(11865*B28*10^-3)/(4.95-$B$1-B28*10^-3)</f>
        <v>478.78940731399746</v>
      </c>
      <c r="D28">
        <f>4.95/(12000+C28)</f>
        <v>3.9667309371362047E-4</v>
      </c>
      <c r="F28">
        <f>5*10^-3</f>
        <v>5.0000000000000001E-3</v>
      </c>
      <c r="G28">
        <v>376</v>
      </c>
      <c r="H28">
        <f>(11865*G28*10^-3)/(4.95-$B$1-G28*10^-3)</f>
        <v>975.34761696545695</v>
      </c>
      <c r="I28">
        <f>4.95/(12000+H28)</f>
        <v>3.8149266949332459E-4</v>
      </c>
      <c r="K28">
        <f>5*10^-3</f>
        <v>5.0000000000000001E-3</v>
      </c>
      <c r="L28">
        <v>926</v>
      </c>
      <c r="M28">
        <f>(11865*L28*10^-3)/(4.95-$B$1-L28*10^-3)</f>
        <v>2730.3653081510934</v>
      </c>
      <c r="N28">
        <f>4.95/(12000+M28)</f>
        <v>3.3604054593682766E-4</v>
      </c>
    </row>
    <row r="29" spans="1:14" x14ac:dyDescent="0.3">
      <c r="A29">
        <f>0.5*10^-3</f>
        <v>5.0000000000000001E-4</v>
      </c>
      <c r="B29">
        <v>615</v>
      </c>
      <c r="C29">
        <f t="shared" ref="C29:C30" si="25">(11865*B29*10^-3)/(4.95-$B$1-B29*10^-3)</f>
        <v>1683.2698961937717</v>
      </c>
      <c r="D29">
        <f t="shared" ref="D29:D30" si="26">4.95/(12000+C29)</f>
        <v>3.6175563571810599E-4</v>
      </c>
      <c r="F29">
        <f>0.5*10^-3</f>
        <v>5.0000000000000001E-4</v>
      </c>
      <c r="G29">
        <v>852</v>
      </c>
      <c r="H29">
        <f t="shared" ref="H29:H30" si="27">(11865*G29*10^-3)/(4.95-$B$1-G29*10^-3)</f>
        <v>2466.8081991215226</v>
      </c>
      <c r="I29">
        <f t="shared" ref="I29:I30" si="28">4.95/(12000+H29)</f>
        <v>3.4216255112171751E-4</v>
      </c>
      <c r="K29">
        <f>0.5*10^-3</f>
        <v>5.0000000000000001E-4</v>
      </c>
      <c r="L29">
        <v>1144</v>
      </c>
      <c r="M29">
        <f t="shared" ref="M29:M30" si="29">(11865*L29*10^-3)/(4.95-$B$1-L29*10^-3)</f>
        <v>3566.3583815028901</v>
      </c>
      <c r="N29">
        <f t="shared" ref="N29:N30" si="30">4.95/(12000+M29)</f>
        <v>3.1799344963571953E-4</v>
      </c>
    </row>
    <row r="30" spans="1:14" x14ac:dyDescent="0.3">
      <c r="A30">
        <f>0.05*10^-3</f>
        <v>5.0000000000000002E-5</v>
      </c>
      <c r="B30">
        <v>1093</v>
      </c>
      <c r="C30">
        <f t="shared" si="25"/>
        <v>3362.3139745916515</v>
      </c>
      <c r="D30">
        <f t="shared" si="26"/>
        <v>3.2221708319378213E-4</v>
      </c>
      <c r="F30">
        <f>0.05*10^-3</f>
        <v>5.0000000000000002E-5</v>
      </c>
      <c r="G30">
        <v>1138</v>
      </c>
      <c r="H30">
        <f t="shared" si="27"/>
        <v>3542.0697796432319</v>
      </c>
      <c r="I30">
        <f t="shared" si="28"/>
        <v>3.1849039865227189E-4</v>
      </c>
      <c r="K30">
        <f>0.05*10^-3</f>
        <v>5.0000000000000002E-5</v>
      </c>
      <c r="L30">
        <v>1183</v>
      </c>
      <c r="M30">
        <f t="shared" si="29"/>
        <v>3726.1202548447036</v>
      </c>
      <c r="N30">
        <f t="shared" si="30"/>
        <v>3.1476294977936893E-4</v>
      </c>
    </row>
  </sheetData>
  <mergeCells count="15">
    <mergeCell ref="A2:D2"/>
    <mergeCell ref="A8:D8"/>
    <mergeCell ref="F2:I2"/>
    <mergeCell ref="K2:N2"/>
    <mergeCell ref="F8:I8"/>
    <mergeCell ref="K8:N8"/>
    <mergeCell ref="A26:D26"/>
    <mergeCell ref="F26:I26"/>
    <mergeCell ref="K26:N26"/>
    <mergeCell ref="A14:D14"/>
    <mergeCell ref="F14:I14"/>
    <mergeCell ref="K14:N14"/>
    <mergeCell ref="A20:D20"/>
    <mergeCell ref="F20:I20"/>
    <mergeCell ref="K20:N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AC42-5A63-4F83-81D1-9D27BD5F37A8}">
  <dimension ref="A1:N30"/>
  <sheetViews>
    <sheetView topLeftCell="B1" workbookViewId="0">
      <selection activeCell="A2" sqref="A2:D2"/>
    </sheetView>
  </sheetViews>
  <sheetFormatPr baseColWidth="10" defaultRowHeight="14.4" x14ac:dyDescent="0.3"/>
  <sheetData>
    <row r="1" spans="1:14" x14ac:dyDescent="0.3">
      <c r="A1" t="s">
        <v>4</v>
      </c>
      <c r="B1">
        <v>0</v>
      </c>
    </row>
    <row r="2" spans="1:14" x14ac:dyDescent="0.3">
      <c r="A2" s="3" t="s">
        <v>5</v>
      </c>
      <c r="B2" s="4"/>
      <c r="C2" s="4"/>
      <c r="D2" s="4"/>
      <c r="F2" s="3" t="s">
        <v>6</v>
      </c>
      <c r="G2" s="4"/>
      <c r="H2" s="4"/>
      <c r="I2" s="4"/>
      <c r="K2" s="3" t="s">
        <v>7</v>
      </c>
      <c r="L2" s="4"/>
      <c r="M2" s="4"/>
      <c r="N2" s="4"/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F3" t="s">
        <v>0</v>
      </c>
      <c r="G3" t="s">
        <v>1</v>
      </c>
      <c r="H3" t="s">
        <v>2</v>
      </c>
      <c r="I3" t="s">
        <v>3</v>
      </c>
      <c r="K3" t="s">
        <v>0</v>
      </c>
      <c r="L3" t="s">
        <v>1</v>
      </c>
      <c r="M3" t="s">
        <v>2</v>
      </c>
      <c r="N3" t="s">
        <v>3</v>
      </c>
    </row>
    <row r="4" spans="1:14" x14ac:dyDescent="0.3">
      <c r="A4">
        <f>5*10^-3</f>
        <v>5.0000000000000001E-3</v>
      </c>
      <c r="B4">
        <v>298</v>
      </c>
      <c r="C4">
        <f>(11865*B4*10^-3)/(4.95-$B$1-B4*10^-3)</f>
        <v>760.05374032674115</v>
      </c>
      <c r="D4">
        <f>4.95/(12000+C4)</f>
        <v>3.8792940066984763E-4</v>
      </c>
      <c r="F4">
        <f>5*10^-3</f>
        <v>5.0000000000000001E-3</v>
      </c>
      <c r="G4">
        <v>404</v>
      </c>
      <c r="H4">
        <f>(11865*G4*10^-3)/(4.95-$B$1-G4*10^-3)</f>
        <v>1054.4346678398592</v>
      </c>
      <c r="I4">
        <f>4.95/(12000+H4)</f>
        <v>3.7918149088405414E-4</v>
      </c>
      <c r="K4">
        <f>5*10^-3</f>
        <v>5.0000000000000001E-3</v>
      </c>
      <c r="L4">
        <v>413</v>
      </c>
      <c r="M4">
        <f>(11865*L4*10^-3)/(4.95-$B$1-L4*10^-3)</f>
        <v>1080.0628168393212</v>
      </c>
      <c r="N4">
        <f>4.95/(12000+M4)</f>
        <v>3.7843854951731206E-4</v>
      </c>
    </row>
    <row r="5" spans="1:14" x14ac:dyDescent="0.3">
      <c r="A5">
        <f>0.5*10^-3</f>
        <v>5.0000000000000001E-4</v>
      </c>
      <c r="B5">
        <v>909</v>
      </c>
      <c r="C5">
        <f t="shared" ref="C5:C6" si="0">(11865*B5*10^-3)/(4.95-$B$1-B5*10^-3)</f>
        <v>2668.9643652561244</v>
      </c>
      <c r="D5">
        <f t="shared" ref="D5:D6" si="1">4.95/(12000+C5)</f>
        <v>3.3744713510411284E-4</v>
      </c>
      <c r="F5">
        <f>0.5*10^-3</f>
        <v>5.0000000000000001E-4</v>
      </c>
      <c r="G5">
        <v>1019</v>
      </c>
      <c r="H5">
        <f t="shared" ref="H5:H6" si="2">(11865*G5*10^-3)/(4.95-$B$1-G5*10^-3)</f>
        <v>3075.6639531925716</v>
      </c>
      <c r="I5">
        <f t="shared" ref="I5:I6" si="3">4.95/(12000+H5)</f>
        <v>3.2834374760335112E-4</v>
      </c>
      <c r="K5">
        <f>0.5*10^-3</f>
        <v>5.0000000000000001E-4</v>
      </c>
      <c r="L5">
        <v>1006</v>
      </c>
      <c r="M5">
        <f t="shared" ref="M5:M6" si="4">(11865*L5*10^-3)/(4.95-$B$1-L5*10^-3)</f>
        <v>3026.4173427991886</v>
      </c>
      <c r="N5">
        <f t="shared" ref="N5:N6" si="5">4.95/(12000+M5)</f>
        <v>3.2941984021042051E-4</v>
      </c>
    </row>
    <row r="6" spans="1:14" x14ac:dyDescent="0.3">
      <c r="A6">
        <f>0.05*10^-3</f>
        <v>5.0000000000000002E-5</v>
      </c>
      <c r="B6">
        <v>1478</v>
      </c>
      <c r="C6">
        <f t="shared" si="0"/>
        <v>5050.8266129032254</v>
      </c>
      <c r="D6">
        <f t="shared" si="1"/>
        <v>2.9030850599665845E-4</v>
      </c>
      <c r="F6">
        <f>0.05*10^-3</f>
        <v>5.0000000000000002E-5</v>
      </c>
      <c r="G6">
        <v>1481</v>
      </c>
      <c r="H6">
        <f t="shared" si="2"/>
        <v>5065.4554626693562</v>
      </c>
      <c r="I6">
        <f t="shared" si="3"/>
        <v>2.9005964773856245E-4</v>
      </c>
      <c r="K6">
        <f>0.05*10^-3</f>
        <v>5.0000000000000002E-5</v>
      </c>
      <c r="L6">
        <v>1437</v>
      </c>
      <c r="M6">
        <f t="shared" si="4"/>
        <v>4853.4030742954747</v>
      </c>
      <c r="N6">
        <f t="shared" si="5"/>
        <v>2.9370922763662235E-4</v>
      </c>
    </row>
    <row r="8" spans="1:14" x14ac:dyDescent="0.3">
      <c r="A8" s="3" t="s">
        <v>8</v>
      </c>
      <c r="B8" s="4"/>
      <c r="C8" s="4"/>
      <c r="D8" s="4"/>
      <c r="F8" s="3" t="s">
        <v>9</v>
      </c>
      <c r="G8" s="4"/>
      <c r="H8" s="4"/>
      <c r="I8" s="4"/>
      <c r="K8" s="3" t="s">
        <v>10</v>
      </c>
      <c r="L8" s="4"/>
      <c r="M8" s="4"/>
      <c r="N8" s="4"/>
    </row>
    <row r="9" spans="1:14" x14ac:dyDescent="0.3">
      <c r="A9" t="s">
        <v>0</v>
      </c>
      <c r="B9" t="s">
        <v>1</v>
      </c>
      <c r="C9" t="s">
        <v>2</v>
      </c>
      <c r="D9" t="s">
        <v>3</v>
      </c>
      <c r="F9" t="s">
        <v>0</v>
      </c>
      <c r="G9" t="s">
        <v>1</v>
      </c>
      <c r="H9" t="s">
        <v>2</v>
      </c>
      <c r="I9" t="s">
        <v>3</v>
      </c>
      <c r="K9" t="s">
        <v>0</v>
      </c>
      <c r="L9" t="s">
        <v>1</v>
      </c>
      <c r="M9" t="s">
        <v>2</v>
      </c>
      <c r="N9" t="s">
        <v>3</v>
      </c>
    </row>
    <row r="10" spans="1:14" x14ac:dyDescent="0.3">
      <c r="A10">
        <f>5*10^-3</f>
        <v>5.0000000000000001E-3</v>
      </c>
      <c r="B10">
        <v>504</v>
      </c>
      <c r="C10">
        <f>(11865*B10*10^-3)/(4.95-$B$1-B10*10^-3)</f>
        <v>1345.0202429149799</v>
      </c>
      <c r="D10">
        <f>4.95/(12000+C10)</f>
        <v>3.7092487758705426E-4</v>
      </c>
      <c r="F10">
        <f>5*10^-3</f>
        <v>5.0000000000000001E-3</v>
      </c>
      <c r="G10">
        <v>460</v>
      </c>
      <c r="H10">
        <f>(11865*G10*10^-3)/(4.95-$B$1-G10*10^-3)</f>
        <v>1215.5679287305122</v>
      </c>
      <c r="I10">
        <f>4.95/(12000+H10)</f>
        <v>3.7455825029197192E-4</v>
      </c>
      <c r="K10">
        <f>5*10^-3</f>
        <v>5.0000000000000001E-3</v>
      </c>
      <c r="L10">
        <v>523</v>
      </c>
      <c r="M10">
        <f>(11865*L10*10^-3)/(4.95-$B$1-L10*10^-3)</f>
        <v>1401.7156087644003</v>
      </c>
      <c r="N10">
        <f>4.95/(12000+M10)</f>
        <v>3.6935569627837938E-4</v>
      </c>
    </row>
    <row r="11" spans="1:14" x14ac:dyDescent="0.3">
      <c r="A11">
        <f>0.5*10^-3</f>
        <v>5.0000000000000001E-4</v>
      </c>
      <c r="B11">
        <v>1365</v>
      </c>
      <c r="C11">
        <f t="shared" ref="C11:C12" si="6">(11865*B11*10^-3)/(4.95-$B$1-B11*10^-3)</f>
        <v>4517.6359832635981</v>
      </c>
      <c r="D11">
        <f t="shared" ref="D11:D12" si="7">4.95/(12000+C11)</f>
        <v>2.9967968812338278E-4</v>
      </c>
      <c r="F11">
        <f>0.5*10^-3</f>
        <v>5.0000000000000001E-4</v>
      </c>
      <c r="G11">
        <v>1198</v>
      </c>
      <c r="H11">
        <f t="shared" ref="H11:H12" si="8">(11865*G11*10^-3)/(4.95-$B$1-G11*10^-3)</f>
        <v>3788.4514925373132</v>
      </c>
      <c r="I11">
        <f t="shared" ref="I11:I12" si="9">4.95/(12000+H11)</f>
        <v>3.1352029692967065E-4</v>
      </c>
      <c r="K11">
        <f>0.5*10^-3</f>
        <v>5.0000000000000001E-4</v>
      </c>
      <c r="L11">
        <v>1257</v>
      </c>
      <c r="M11">
        <f t="shared" ref="M11:M12" si="10">(11865*L11*10^-3)/(4.95-$B$1-L11*10^-3)</f>
        <v>4038.5337124289194</v>
      </c>
      <c r="N11">
        <f t="shared" ref="N11:N12" si="11">4.95/(12000+M11)</f>
        <v>3.086317046653736E-4</v>
      </c>
    </row>
    <row r="12" spans="1:14" x14ac:dyDescent="0.3">
      <c r="A12">
        <f>0.05*10^-3</f>
        <v>5.0000000000000002E-5</v>
      </c>
      <c r="B12">
        <v>1922</v>
      </c>
      <c r="C12">
        <f t="shared" si="6"/>
        <v>7531.2186261558772</v>
      </c>
      <c r="D12">
        <f t="shared" si="7"/>
        <v>2.5344040711167116E-4</v>
      </c>
      <c r="F12">
        <f>0.05*10^-3</f>
        <v>5.0000000000000002E-5</v>
      </c>
      <c r="G12">
        <v>1840</v>
      </c>
      <c r="H12">
        <f t="shared" si="8"/>
        <v>7019.8070739549839</v>
      </c>
      <c r="I12">
        <f t="shared" si="9"/>
        <v>2.6025500578175402E-4</v>
      </c>
      <c r="K12">
        <f>0.05*10^-3</f>
        <v>5.0000000000000002E-5</v>
      </c>
      <c r="L12">
        <v>1814</v>
      </c>
      <c r="M12">
        <f t="shared" si="10"/>
        <v>6863.2366071428569</v>
      </c>
      <c r="N12">
        <f t="shared" si="11"/>
        <v>2.6241519963364116E-4</v>
      </c>
    </row>
    <row r="14" spans="1:14" x14ac:dyDescent="0.3">
      <c r="A14" s="3" t="s">
        <v>11</v>
      </c>
      <c r="B14" s="4"/>
      <c r="C14" s="4"/>
      <c r="D14" s="4"/>
      <c r="F14" s="3" t="s">
        <v>12</v>
      </c>
      <c r="G14" s="4"/>
      <c r="H14" s="4"/>
      <c r="I14" s="4"/>
      <c r="K14" s="3" t="s">
        <v>13</v>
      </c>
      <c r="L14" s="4"/>
      <c r="M14" s="4"/>
      <c r="N14" s="4"/>
    </row>
    <row r="15" spans="1:14" x14ac:dyDescent="0.3">
      <c r="A15" t="s">
        <v>0</v>
      </c>
      <c r="B15" t="s">
        <v>1</v>
      </c>
      <c r="C15" t="s">
        <v>2</v>
      </c>
      <c r="D15" t="s">
        <v>3</v>
      </c>
      <c r="F15" t="s">
        <v>0</v>
      </c>
      <c r="G15" t="s">
        <v>1</v>
      </c>
      <c r="H15" t="s">
        <v>2</v>
      </c>
      <c r="I15" t="s">
        <v>3</v>
      </c>
      <c r="K15" t="s">
        <v>0</v>
      </c>
      <c r="L15" t="s">
        <v>1</v>
      </c>
      <c r="M15" t="s">
        <v>2</v>
      </c>
      <c r="N15" t="s">
        <v>3</v>
      </c>
    </row>
    <row r="16" spans="1:14" x14ac:dyDescent="0.3">
      <c r="A16">
        <f>5*10^-3</f>
        <v>5.0000000000000001E-3</v>
      </c>
      <c r="B16">
        <v>1105</v>
      </c>
      <c r="C16">
        <f>(11865*B16*10^-3)/(4.95-$B$1-B16*10^-3)</f>
        <v>3409.8374512353707</v>
      </c>
      <c r="D16">
        <f>4.95/(12000+C16)</f>
        <v>3.2122337537072266E-4</v>
      </c>
      <c r="F16">
        <f>5*10^-3</f>
        <v>5.0000000000000001E-3</v>
      </c>
      <c r="G16">
        <v>555</v>
      </c>
      <c r="H16">
        <f>(11865*G16*10^-3)/(4.95-$B$1-G16*10^-3)</f>
        <v>1498.310580204778</v>
      </c>
      <c r="I16">
        <f>4.95/(12000+H16)</f>
        <v>3.6671255788551469E-4</v>
      </c>
      <c r="K16">
        <f>5*10^-3</f>
        <v>5.0000000000000001E-3</v>
      </c>
      <c r="L16">
        <v>748</v>
      </c>
      <c r="M16">
        <f>(11865*L16*10^-3)/(4.95-$B$1-L16*10^-3)</f>
        <v>2112.0942408376964</v>
      </c>
      <c r="N16">
        <f>4.95/(12000+M16)</f>
        <v>3.5076296370496513E-4</v>
      </c>
    </row>
    <row r="17" spans="1:14" x14ac:dyDescent="0.3">
      <c r="A17">
        <f>0.5*10^-3</f>
        <v>5.0000000000000001E-4</v>
      </c>
      <c r="B17">
        <v>2086</v>
      </c>
      <c r="C17">
        <f t="shared" ref="C17:C18" si="12">(11865*B17*10^-3)/(4.95-$B$1-B17*10^-3)</f>
        <v>8641.8959497206688</v>
      </c>
      <c r="D17">
        <f t="shared" ref="D17:D18" si="13">4.95/(12000+C17)</f>
        <v>2.3980355351355142E-4</v>
      </c>
      <c r="F17">
        <f>0.5*10^-3</f>
        <v>5.0000000000000001E-4</v>
      </c>
      <c r="G17">
        <v>1425</v>
      </c>
      <c r="H17">
        <f t="shared" ref="H17:H18" si="14">(11865*G17*10^-3)/(4.95-$B$1-G17*10^-3)</f>
        <v>4796.4893617021271</v>
      </c>
      <c r="I17">
        <f t="shared" ref="I17:I18" si="15">4.95/(12000+H17)</f>
        <v>2.9470444051758542E-4</v>
      </c>
      <c r="K17">
        <f>0.5*10^-3</f>
        <v>5.0000000000000001E-4</v>
      </c>
      <c r="L17">
        <v>1643</v>
      </c>
      <c r="M17">
        <f t="shared" ref="M17:M18" si="16">(11865*L17*10^-3)/(4.95-$B$1-L17*10^-3)</f>
        <v>5894.8276383429084</v>
      </c>
      <c r="N17">
        <f t="shared" ref="N17:N18" si="17">4.95/(12000+M17)</f>
        <v>2.7661624353361914E-4</v>
      </c>
    </row>
    <row r="18" spans="1:14" x14ac:dyDescent="0.3">
      <c r="A18">
        <f>0.05*10^-3</f>
        <v>5.0000000000000002E-5</v>
      </c>
      <c r="B18">
        <v>2392</v>
      </c>
      <c r="C18">
        <f t="shared" si="12"/>
        <v>11095.027365129006</v>
      </c>
      <c r="D18">
        <f t="shared" si="13"/>
        <v>2.1433185255601667E-4</v>
      </c>
      <c r="F18">
        <f>0.05*10^-3</f>
        <v>5.0000000000000002E-5</v>
      </c>
      <c r="G18">
        <v>2209</v>
      </c>
      <c r="H18">
        <f t="shared" si="14"/>
        <v>9562.1251368113826</v>
      </c>
      <c r="I18">
        <f t="shared" si="15"/>
        <v>2.2956920844268919E-4</v>
      </c>
      <c r="K18">
        <f>0.05*10^-3</f>
        <v>5.0000000000000002E-5</v>
      </c>
      <c r="L18">
        <v>2245</v>
      </c>
      <c r="M18">
        <f t="shared" si="16"/>
        <v>9847.2920517560069</v>
      </c>
      <c r="N18">
        <f t="shared" si="17"/>
        <v>2.2657270238679936E-4</v>
      </c>
    </row>
    <row r="20" spans="1:14" x14ac:dyDescent="0.3">
      <c r="A20" s="3" t="s">
        <v>14</v>
      </c>
      <c r="B20" s="4"/>
      <c r="C20" s="4"/>
      <c r="D20" s="4"/>
      <c r="F20" s="3" t="s">
        <v>15</v>
      </c>
      <c r="G20" s="4"/>
      <c r="H20" s="4"/>
      <c r="I20" s="4"/>
      <c r="K20" s="3" t="s">
        <v>16</v>
      </c>
      <c r="L20" s="4"/>
      <c r="M20" s="4"/>
      <c r="N20" s="4"/>
    </row>
    <row r="21" spans="1:14" x14ac:dyDescent="0.3">
      <c r="A21" t="s">
        <v>0</v>
      </c>
      <c r="B21" t="s">
        <v>1</v>
      </c>
      <c r="C21" t="s">
        <v>2</v>
      </c>
      <c r="D21" t="s">
        <v>3</v>
      </c>
      <c r="F21" t="s">
        <v>0</v>
      </c>
      <c r="G21" t="s">
        <v>1</v>
      </c>
      <c r="H21" t="s">
        <v>2</v>
      </c>
      <c r="I21" t="s">
        <v>3</v>
      </c>
      <c r="K21" t="s">
        <v>0</v>
      </c>
      <c r="L21" t="s">
        <v>1</v>
      </c>
      <c r="M21" t="s">
        <v>2</v>
      </c>
      <c r="N21" t="s">
        <v>3</v>
      </c>
    </row>
    <row r="22" spans="1:14" x14ac:dyDescent="0.3">
      <c r="A22">
        <f>5*10^-3</f>
        <v>5.0000000000000001E-3</v>
      </c>
      <c r="B22">
        <v>1772</v>
      </c>
      <c r="C22">
        <f>(11865*B22*10^-3)/(4.95-$B$1-B22*10^-3)</f>
        <v>6615.7268722466961</v>
      </c>
      <c r="D22">
        <f>4.95/(12000+C22)</f>
        <v>2.6590420207441484E-4</v>
      </c>
      <c r="F22">
        <f>5*10^-3</f>
        <v>5.0000000000000001E-3</v>
      </c>
      <c r="G22">
        <v>636</v>
      </c>
      <c r="H22">
        <f>(11865*G22*10^-3)/(4.95-$B$1-G22*10^-3)</f>
        <v>1749.2211404728791</v>
      </c>
      <c r="I22">
        <f>4.95/(12000+H22)</f>
        <v>3.6002039311368251E-4</v>
      </c>
      <c r="K22">
        <f>5*10^-3</f>
        <v>5.0000000000000001E-3</v>
      </c>
      <c r="L22">
        <v>976</v>
      </c>
      <c r="M22">
        <f>(11865*L22*10^-3)/(4.95-$B$1-L22*10^-3)</f>
        <v>2914.0010065425263</v>
      </c>
      <c r="N22">
        <f>4.95/(12000+M22)</f>
        <v>3.3190288761738158E-4</v>
      </c>
    </row>
    <row r="23" spans="1:14" x14ac:dyDescent="0.3">
      <c r="A23">
        <f>0.5*10^-3</f>
        <v>5.0000000000000001E-4</v>
      </c>
      <c r="B23">
        <v>2467</v>
      </c>
      <c r="C23">
        <f t="shared" ref="C23:C24" si="18">(11865*B23*10^-3)/(4.95-$B$1-B23*10^-3)</f>
        <v>11788.544099879178</v>
      </c>
      <c r="D23">
        <f t="shared" ref="D23:D24" si="19">4.95/(12000+C23)</f>
        <v>2.0808335218905393E-4</v>
      </c>
      <c r="F23">
        <f>0.5*10^-3</f>
        <v>5.0000000000000001E-4</v>
      </c>
      <c r="G23">
        <v>1571</v>
      </c>
      <c r="H23">
        <f t="shared" ref="H23:H24" si="20">(11865*G23*10^-3)/(4.95-$B$1-G23*10^-3)</f>
        <v>5516.3998224326715</v>
      </c>
      <c r="I23">
        <f t="shared" ref="I23:I24" si="21">4.95/(12000+H23)</f>
        <v>2.8259231635376921E-4</v>
      </c>
      <c r="K23">
        <f>0.5*10^-3</f>
        <v>5.0000000000000001E-4</v>
      </c>
      <c r="L23">
        <v>1932</v>
      </c>
      <c r="M23">
        <f t="shared" ref="M23:M24" si="22">(11865*L23*10^-3)/(4.95-$B$1-L23*10^-3)</f>
        <v>7595.4870775347908</v>
      </c>
      <c r="N23">
        <f t="shared" ref="N23:N24" si="23">4.95/(12000+M23)</f>
        <v>2.5260918396230724E-4</v>
      </c>
    </row>
    <row r="24" spans="1:14" x14ac:dyDescent="0.3">
      <c r="A24">
        <f>0.05*10^-3</f>
        <v>5.0000000000000002E-5</v>
      </c>
      <c r="B24">
        <v>2597</v>
      </c>
      <c r="C24">
        <f t="shared" si="18"/>
        <v>13095.36974075648</v>
      </c>
      <c r="D24">
        <f t="shared" si="19"/>
        <v>1.9724754212171997E-4</v>
      </c>
      <c r="F24">
        <f>0.05*10^-3</f>
        <v>5.0000000000000002E-5</v>
      </c>
      <c r="G24">
        <v>2381</v>
      </c>
      <c r="H24">
        <f t="shared" si="20"/>
        <v>10996.716621253407</v>
      </c>
      <c r="I24">
        <f t="shared" si="21"/>
        <v>2.1524811917825019E-4</v>
      </c>
      <c r="K24">
        <f>0.05*10^-3</f>
        <v>5.0000000000000002E-5</v>
      </c>
      <c r="L24">
        <v>2470</v>
      </c>
      <c r="M24">
        <f t="shared" si="22"/>
        <v>11817.157258064515</v>
      </c>
      <c r="N24">
        <f t="shared" si="23"/>
        <v>2.0783336761669678E-4</v>
      </c>
    </row>
    <row r="26" spans="1:14" x14ac:dyDescent="0.3">
      <c r="A26" s="3" t="s">
        <v>17</v>
      </c>
      <c r="B26" s="4"/>
      <c r="C26" s="4"/>
      <c r="D26" s="4"/>
      <c r="F26" s="3" t="s">
        <v>18</v>
      </c>
      <c r="G26" s="4"/>
      <c r="H26" s="4"/>
      <c r="I26" s="4"/>
      <c r="K26" s="3" t="s">
        <v>19</v>
      </c>
      <c r="L26" s="4"/>
      <c r="M26" s="4"/>
      <c r="N26" s="4"/>
    </row>
    <row r="27" spans="1:14" x14ac:dyDescent="0.3">
      <c r="A27" t="s">
        <v>0</v>
      </c>
      <c r="B27" t="s">
        <v>1</v>
      </c>
      <c r="C27" t="s">
        <v>2</v>
      </c>
      <c r="D27" t="s">
        <v>3</v>
      </c>
      <c r="F27" t="s">
        <v>0</v>
      </c>
      <c r="G27" t="s">
        <v>1</v>
      </c>
      <c r="H27" t="s">
        <v>2</v>
      </c>
      <c r="I27" t="s">
        <v>3</v>
      </c>
      <c r="K27" t="s">
        <v>0</v>
      </c>
      <c r="L27" t="s">
        <v>1</v>
      </c>
      <c r="M27" t="s">
        <v>2</v>
      </c>
      <c r="N27" t="s">
        <v>3</v>
      </c>
    </row>
    <row r="28" spans="1:14" x14ac:dyDescent="0.3">
      <c r="A28">
        <f>5*10^-3</f>
        <v>5.0000000000000001E-3</v>
      </c>
      <c r="B28">
        <v>2175</v>
      </c>
      <c r="C28">
        <f>(11865*B28*10^-3)/(4.95-$B$1-B28*10^-3)</f>
        <v>9299.594594594595</v>
      </c>
      <c r="D28">
        <f>4.95/(12000+C28)</f>
        <v>2.3239878947067894E-4</v>
      </c>
      <c r="F28">
        <f>5*10^-3</f>
        <v>5.0000000000000001E-3</v>
      </c>
      <c r="G28">
        <v>728</v>
      </c>
      <c r="H28">
        <f>(11865*G28*10^-3)/(4.95-$B$1-G28*10^-3)</f>
        <v>2045.8834675509233</v>
      </c>
      <c r="I28">
        <f>4.95/(12000+H28)</f>
        <v>3.5241642232299502E-4</v>
      </c>
      <c r="K28">
        <f>5*10^-3</f>
        <v>5.0000000000000001E-3</v>
      </c>
      <c r="L28">
        <v>1212</v>
      </c>
      <c r="M28">
        <f>(11865*L28*10^-3)/(4.95-$B$1-L28*10^-3)</f>
        <v>3847.0786516853932</v>
      </c>
      <c r="N28">
        <f>4.95/(12000+M28)</f>
        <v>3.1236041095016276E-4</v>
      </c>
    </row>
    <row r="29" spans="1:14" x14ac:dyDescent="0.3">
      <c r="A29">
        <f>0.5*10^-3</f>
        <v>5.0000000000000001E-4</v>
      </c>
      <c r="B29">
        <v>2537</v>
      </c>
      <c r="C29">
        <f t="shared" ref="C29:C30" si="24">(11865*B29*10^-3)/(4.95-$B$1-B29*10^-3)</f>
        <v>12474.72233733941</v>
      </c>
      <c r="D29">
        <f t="shared" ref="D29:D30" si="25">4.95/(12000+C29)</f>
        <v>2.0224948548029591E-4</v>
      </c>
      <c r="F29">
        <f>0.5*10^-3</f>
        <v>5.0000000000000001E-4</v>
      </c>
      <c r="G29">
        <v>1686</v>
      </c>
      <c r="H29">
        <f t="shared" ref="H29:H30" si="26">(11865*G29*10^-3)/(4.95-$B$1-G29*10^-3)</f>
        <v>6128.7959558823522</v>
      </c>
      <c r="I29">
        <f t="shared" ref="I29:I30" si="27">4.95/(12000+H29)</f>
        <v>2.7304626363748363E-4</v>
      </c>
      <c r="K29">
        <f>0.5*10^-3</f>
        <v>5.0000000000000001E-4</v>
      </c>
      <c r="L29">
        <v>2118</v>
      </c>
      <c r="M29">
        <f t="shared" ref="M29:M30" si="28">(11865*L29*10^-3)/(4.95-$B$1-L29*10^-3)</f>
        <v>8873.6122881355914</v>
      </c>
      <c r="N29">
        <f t="shared" ref="N29:N30" si="29">4.95/(12000+M29)</f>
        <v>2.3714151301035442E-4</v>
      </c>
    </row>
    <row r="30" spans="1:14" x14ac:dyDescent="0.3">
      <c r="A30">
        <f>0.05*10^-3</f>
        <v>5.0000000000000002E-5</v>
      </c>
      <c r="B30">
        <v>2586</v>
      </c>
      <c r="C30">
        <f t="shared" si="24"/>
        <v>12979.225888324871</v>
      </c>
      <c r="D30">
        <f t="shared" si="25"/>
        <v>1.9816466779755564E-4</v>
      </c>
      <c r="F30">
        <f>0.05*10^-3</f>
        <v>5.0000000000000002E-5</v>
      </c>
      <c r="G30">
        <v>2413</v>
      </c>
      <c r="H30">
        <f t="shared" si="26"/>
        <v>11285.078833267638</v>
      </c>
      <c r="I30">
        <f t="shared" si="27"/>
        <v>2.125824883585055E-4</v>
      </c>
      <c r="K30">
        <f>0.05*10^-3</f>
        <v>5.0000000000000002E-5</v>
      </c>
      <c r="L30">
        <v>2513</v>
      </c>
      <c r="M30">
        <f t="shared" si="28"/>
        <v>12235.020517029132</v>
      </c>
      <c r="N30">
        <f t="shared" si="29"/>
        <v>2.0424987866306127E-4</v>
      </c>
    </row>
  </sheetData>
  <mergeCells count="15">
    <mergeCell ref="A2:D2"/>
    <mergeCell ref="F2:I2"/>
    <mergeCell ref="K2:N2"/>
    <mergeCell ref="A8:D8"/>
    <mergeCell ref="F8:I8"/>
    <mergeCell ref="K8:N8"/>
    <mergeCell ref="A26:D26"/>
    <mergeCell ref="F26:I26"/>
    <mergeCell ref="K26:N26"/>
    <mergeCell ref="A14:D14"/>
    <mergeCell ref="F14:I14"/>
    <mergeCell ref="K14:N14"/>
    <mergeCell ref="A20:D20"/>
    <mergeCell ref="F20:I20"/>
    <mergeCell ref="K20:N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028B-78D9-42CE-8FCC-B7DE8BDF2C33}">
  <dimension ref="A1:N30"/>
  <sheetViews>
    <sheetView topLeftCell="A3" workbookViewId="0">
      <selection activeCell="K29" sqref="K29"/>
    </sheetView>
  </sheetViews>
  <sheetFormatPr baseColWidth="10" defaultRowHeight="14.4" x14ac:dyDescent="0.3"/>
  <sheetData>
    <row r="1" spans="1:14" x14ac:dyDescent="0.3">
      <c r="A1" t="s">
        <v>4</v>
      </c>
      <c r="B1">
        <v>0</v>
      </c>
    </row>
    <row r="2" spans="1:14" x14ac:dyDescent="0.3">
      <c r="A2" s="3" t="s">
        <v>5</v>
      </c>
      <c r="B2" s="4"/>
      <c r="C2" s="4"/>
      <c r="D2" s="4"/>
      <c r="F2" s="3" t="s">
        <v>6</v>
      </c>
      <c r="G2" s="4"/>
      <c r="H2" s="4"/>
      <c r="I2" s="4"/>
      <c r="K2" s="3" t="s">
        <v>7</v>
      </c>
      <c r="L2" s="4"/>
      <c r="M2" s="4"/>
      <c r="N2" s="4"/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F3" t="s">
        <v>0</v>
      </c>
      <c r="G3" t="s">
        <v>1</v>
      </c>
      <c r="H3" t="s">
        <v>2</v>
      </c>
      <c r="I3" t="s">
        <v>3</v>
      </c>
      <c r="K3" t="s">
        <v>0</v>
      </c>
      <c r="L3" t="s">
        <v>1</v>
      </c>
      <c r="M3" t="s">
        <v>2</v>
      </c>
      <c r="N3" t="s">
        <v>3</v>
      </c>
    </row>
    <row r="4" spans="1:14" x14ac:dyDescent="0.3">
      <c r="A4">
        <f>5*10^-3</f>
        <v>5.0000000000000001E-3</v>
      </c>
      <c r="B4">
        <v>379</v>
      </c>
      <c r="C4">
        <f>(11865*B4*10^-3)/(4.95-$B$1-B4*10^-3)</f>
        <v>983.77488514548247</v>
      </c>
      <c r="D4">
        <f>4.95/(12000+C4)</f>
        <v>3.8124505729556445E-4</v>
      </c>
      <c r="E4">
        <f>LOG10(A4/D4)</f>
        <v>1.1177657824157388</v>
      </c>
      <c r="F4">
        <f>5*10^-3</f>
        <v>5.0000000000000001E-3</v>
      </c>
      <c r="G4">
        <v>424</v>
      </c>
      <c r="H4">
        <f>(11865*G4*10^-3)/(4.95-$B$1-G4*10^-3)</f>
        <v>1111.5245249668583</v>
      </c>
      <c r="I4">
        <f>4.95/(12000+H4)</f>
        <v>3.775304687547394E-4</v>
      </c>
      <c r="K4">
        <f>5*10^-3</f>
        <v>5.0000000000000001E-3</v>
      </c>
      <c r="L4">
        <v>349</v>
      </c>
      <c r="M4">
        <f>(11865*L4*10^-3)/(4.95-$B$1-L4*10^-3)</f>
        <v>899.99673983916546</v>
      </c>
      <c r="N4">
        <f>4.95/(12000+M4)</f>
        <v>3.8372102720870269E-4</v>
      </c>
    </row>
    <row r="5" spans="1:14" x14ac:dyDescent="0.3">
      <c r="A5">
        <f>0.5*10^-3</f>
        <v>5.0000000000000001E-4</v>
      </c>
      <c r="B5">
        <v>1105</v>
      </c>
      <c r="C5">
        <f t="shared" ref="C5:C6" si="0">(11865*B5*10^-3)/(4.95-$B$1-B5*10^-3)</f>
        <v>3409.8374512353707</v>
      </c>
      <c r="D5">
        <f t="shared" ref="D5:D6" si="1">4.95/(12000+C5)</f>
        <v>3.2122337537072266E-4</v>
      </c>
      <c r="E5">
        <f t="shared" ref="E5:E6" si="2">LOG10(A5/D5)</f>
        <v>0.19216286304339741</v>
      </c>
      <c r="F5">
        <f>0.5*10^-3</f>
        <v>5.0000000000000001E-4</v>
      </c>
      <c r="G5">
        <v>1105</v>
      </c>
      <c r="H5">
        <f t="shared" ref="H5:H6" si="3">(11865*G5*10^-3)/(4.95-$B$1-G5*10^-3)</f>
        <v>3409.8374512353707</v>
      </c>
      <c r="I5">
        <f t="shared" ref="I5:I6" si="4">4.95/(12000+H5)</f>
        <v>3.2122337537072266E-4</v>
      </c>
      <c r="K5">
        <f>0.5*10^-3</f>
        <v>5.0000000000000001E-4</v>
      </c>
      <c r="L5">
        <v>966</v>
      </c>
      <c r="M5">
        <f t="shared" ref="M5:M6" si="5">(11865*L5*10^-3)/(4.95-$B$1-L5*10^-3)</f>
        <v>2876.905120481928</v>
      </c>
      <c r="N5">
        <f t="shared" ref="N5:N6" si="6">4.95/(12000+M5)</f>
        <v>3.3273049467694984E-4</v>
      </c>
    </row>
    <row r="6" spans="1:14" x14ac:dyDescent="0.3">
      <c r="A6">
        <f>0.05*10^-3</f>
        <v>5.0000000000000002E-5</v>
      </c>
      <c r="B6">
        <v>1695</v>
      </c>
      <c r="C6">
        <f t="shared" si="0"/>
        <v>6178.5483870967746</v>
      </c>
      <c r="D6">
        <f t="shared" si="1"/>
        <v>2.7229896989539249E-4</v>
      </c>
      <c r="E6">
        <f t="shared" si="2"/>
        <v>-0.73607599407484903</v>
      </c>
      <c r="F6">
        <f>0.05*10^-3</f>
        <v>5.0000000000000002E-5</v>
      </c>
      <c r="G6">
        <v>1666</v>
      </c>
      <c r="H6">
        <f t="shared" si="3"/>
        <v>6019.2113276492082</v>
      </c>
      <c r="I6">
        <f t="shared" si="4"/>
        <v>2.747068065295718E-4</v>
      </c>
      <c r="K6">
        <f>0.05*10^-3</f>
        <v>5.0000000000000002E-5</v>
      </c>
      <c r="L6">
        <v>1546</v>
      </c>
      <c r="M6">
        <f t="shared" si="5"/>
        <v>5388.7455934195068</v>
      </c>
      <c r="N6">
        <f t="shared" si="6"/>
        <v>2.8466688257681159E-4</v>
      </c>
    </row>
    <row r="8" spans="1:14" x14ac:dyDescent="0.3">
      <c r="A8" s="3" t="s">
        <v>8</v>
      </c>
      <c r="B8" s="4"/>
      <c r="C8" s="4"/>
      <c r="D8" s="4"/>
      <c r="F8" s="3" t="s">
        <v>9</v>
      </c>
      <c r="G8" s="4"/>
      <c r="H8" s="4"/>
      <c r="I8" s="4"/>
      <c r="K8" s="3" t="s">
        <v>10</v>
      </c>
      <c r="L8" s="4"/>
      <c r="M8" s="4"/>
      <c r="N8" s="4"/>
    </row>
    <row r="9" spans="1:14" x14ac:dyDescent="0.3">
      <c r="A9" t="s">
        <v>0</v>
      </c>
      <c r="B9" t="s">
        <v>1</v>
      </c>
      <c r="C9" t="s">
        <v>2</v>
      </c>
      <c r="D9" t="s">
        <v>3</v>
      </c>
      <c r="F9" t="s">
        <v>0</v>
      </c>
      <c r="G9" t="s">
        <v>1</v>
      </c>
      <c r="H9" t="s">
        <v>2</v>
      </c>
      <c r="I9" t="s">
        <v>3</v>
      </c>
      <c r="K9" t="s">
        <v>0</v>
      </c>
      <c r="L9" t="s">
        <v>1</v>
      </c>
      <c r="M9" t="s">
        <v>2</v>
      </c>
      <c r="N9" t="s">
        <v>3</v>
      </c>
    </row>
    <row r="10" spans="1:14" x14ac:dyDescent="0.3">
      <c r="A10">
        <f>5*10^-3</f>
        <v>5.0000000000000001E-3</v>
      </c>
      <c r="B10">
        <v>946</v>
      </c>
      <c r="C10">
        <f>(11865*B10*10^-3)/(4.95-$B$1-B10*10^-3)</f>
        <v>2803.2692307692305</v>
      </c>
      <c r="D10">
        <f>4.95/(12000+C10)</f>
        <v>3.3438559569741612E-4</v>
      </c>
      <c r="F10">
        <f>5*10^-3</f>
        <v>5.0000000000000001E-3</v>
      </c>
      <c r="G10">
        <v>525</v>
      </c>
      <c r="H10">
        <f>(11865*G10*10^-3)/(4.95-$B$1-G10*10^-3)</f>
        <v>1407.7118644067798</v>
      </c>
      <c r="I10">
        <f>4.95/(12000+H10)</f>
        <v>3.6919051140565451E-4</v>
      </c>
      <c r="K10">
        <f>5*10^-3</f>
        <v>5.0000000000000001E-3</v>
      </c>
      <c r="L10">
        <v>368</v>
      </c>
      <c r="M10">
        <f>(11865*L10*10^-3)/(4.95-$B$1-L10*10^-3)</f>
        <v>952.92885202968137</v>
      </c>
      <c r="N10">
        <f>4.95/(12000+M10)</f>
        <v>3.8215295216605403E-4</v>
      </c>
    </row>
    <row r="11" spans="1:14" x14ac:dyDescent="0.3">
      <c r="A11">
        <f>0.5*10^-3</f>
        <v>5.0000000000000001E-4</v>
      </c>
      <c r="B11">
        <v>1809</v>
      </c>
      <c r="C11">
        <f t="shared" ref="C11:C12" si="7">(11865*B11*10^-3)/(4.95-$B$1-B11*10^-3)</f>
        <v>6833.4240687679085</v>
      </c>
      <c r="D11">
        <f t="shared" ref="D11:D12" si="8">4.95/(12000+C11)</f>
        <v>2.6283059213904437E-4</v>
      </c>
      <c r="F11">
        <f>0.5*10^-3</f>
        <v>5.0000000000000001E-4</v>
      </c>
      <c r="G11">
        <v>1325</v>
      </c>
      <c r="H11">
        <f t="shared" ref="H11:H12" si="9">(11865*G11*10^-3)/(4.95-$B$1-G11*10^-3)</f>
        <v>4336.8620689655172</v>
      </c>
      <c r="I11">
        <f t="shared" ref="I11:I12" si="10">4.95/(12000+H11)</f>
        <v>3.0299576375828727E-4</v>
      </c>
      <c r="K11">
        <f>0.5*10^-3</f>
        <v>5.0000000000000001E-4</v>
      </c>
      <c r="L11">
        <v>1055</v>
      </c>
      <c r="M11">
        <f t="shared" ref="M11:M12" si="11">(11865*L11*10^-3)/(4.95-$B$1-L11*10^-3)</f>
        <v>3213.7548138639281</v>
      </c>
      <c r="N11">
        <f t="shared" ref="N11:N12" si="12">4.95/(12000+M11)</f>
        <v>3.2536346618976562E-4</v>
      </c>
    </row>
    <row r="12" spans="1:14" x14ac:dyDescent="0.3">
      <c r="A12">
        <f>0.05*10^-3</f>
        <v>5.0000000000000002E-5</v>
      </c>
      <c r="B12">
        <v>2087</v>
      </c>
      <c r="C12">
        <f t="shared" si="7"/>
        <v>8649.0586797066026</v>
      </c>
      <c r="D12">
        <f t="shared" si="8"/>
        <v>2.3972037063678555E-4</v>
      </c>
      <c r="F12">
        <f>0.05*10^-3</f>
        <v>5.0000000000000002E-5</v>
      </c>
      <c r="G12">
        <v>1967</v>
      </c>
      <c r="H12">
        <f t="shared" si="9"/>
        <v>7823.8199798860214</v>
      </c>
      <c r="I12">
        <f t="shared" si="10"/>
        <v>2.4969960406331639E-4</v>
      </c>
      <c r="K12">
        <f>0.05*10^-3</f>
        <v>5.0000000000000002E-5</v>
      </c>
      <c r="L12">
        <v>1767</v>
      </c>
      <c r="M12">
        <f t="shared" si="11"/>
        <v>6586.6965127238464</v>
      </c>
      <c r="N12">
        <f t="shared" si="12"/>
        <v>2.6631951496121922E-4</v>
      </c>
    </row>
    <row r="14" spans="1:14" x14ac:dyDescent="0.3">
      <c r="A14" s="3" t="s">
        <v>11</v>
      </c>
      <c r="B14" s="4"/>
      <c r="C14" s="4"/>
      <c r="D14" s="4"/>
      <c r="F14" s="3" t="s">
        <v>12</v>
      </c>
      <c r="G14" s="4"/>
      <c r="H14" s="4"/>
      <c r="I14" s="4"/>
      <c r="K14" s="3" t="s">
        <v>13</v>
      </c>
      <c r="L14" s="4"/>
      <c r="M14" s="4"/>
      <c r="N14" s="4"/>
    </row>
    <row r="15" spans="1:14" x14ac:dyDescent="0.3">
      <c r="A15" t="s">
        <v>0</v>
      </c>
      <c r="B15" t="s">
        <v>1</v>
      </c>
      <c r="C15" t="s">
        <v>2</v>
      </c>
      <c r="D15" t="s">
        <v>3</v>
      </c>
      <c r="F15" t="s">
        <v>0</v>
      </c>
      <c r="G15" t="s">
        <v>1</v>
      </c>
      <c r="H15" t="s">
        <v>2</v>
      </c>
      <c r="I15" t="s">
        <v>3</v>
      </c>
      <c r="K15" t="s">
        <v>0</v>
      </c>
      <c r="L15" t="s">
        <v>1</v>
      </c>
      <c r="M15" t="s">
        <v>2</v>
      </c>
      <c r="N15" t="s">
        <v>3</v>
      </c>
    </row>
    <row r="16" spans="1:14" x14ac:dyDescent="0.3">
      <c r="A16">
        <f>5*10^-3</f>
        <v>5.0000000000000001E-3</v>
      </c>
      <c r="B16">
        <v>1903</v>
      </c>
      <c r="C16">
        <f>(11865*B16*10^-3)/(4.95-$B$1-B16*10^-3)</f>
        <v>7410.2707581227432</v>
      </c>
      <c r="D16">
        <f>4.95/(12000+C16)</f>
        <v>2.5501962655150192E-4</v>
      </c>
      <c r="F16">
        <f>5*10^-3</f>
        <v>5.0000000000000001E-3</v>
      </c>
      <c r="G16">
        <v>667</v>
      </c>
      <c r="H16">
        <f>(11865*G16*10^-3)/(4.95-$B$1-G16*10^-3)</f>
        <v>1847.7597478402986</v>
      </c>
      <c r="I16">
        <f>4.95/(12000+H16)</f>
        <v>3.574585413190754E-4</v>
      </c>
      <c r="K16">
        <f>5*10^-3</f>
        <v>5.0000000000000001E-3</v>
      </c>
      <c r="L16">
        <v>387</v>
      </c>
      <c r="M16">
        <f>(11865*L16*10^-3)/(4.95-$B$1-L16*10^-3)</f>
        <v>1006.3017751479289</v>
      </c>
      <c r="N16">
        <f>4.95/(12000+M16)</f>
        <v>3.8058474157952565E-4</v>
      </c>
    </row>
    <row r="17" spans="1:14" x14ac:dyDescent="0.3">
      <c r="A17">
        <f>0.5*10^-3</f>
        <v>5.0000000000000001E-4</v>
      </c>
      <c r="B17">
        <v>2277</v>
      </c>
      <c r="C17">
        <f t="shared" ref="C17:C18" si="13">(11865*B17*10^-3)/(4.95-$B$1-B17*10^-3)</f>
        <v>10107.222222222223</v>
      </c>
      <c r="D17">
        <f t="shared" ref="D17:D18" si="14">4.95/(12000+C17)</f>
        <v>2.2390872766566984E-4</v>
      </c>
      <c r="F17">
        <f>0.5*10^-3</f>
        <v>5.0000000000000001E-4</v>
      </c>
      <c r="G17">
        <v>1555</v>
      </c>
      <c r="H17">
        <f t="shared" ref="H17:H18" si="15">(11865*G17*10^-3)/(4.95-$B$1-G17*10^-3)</f>
        <v>5434.4845360824738</v>
      </c>
      <c r="I17">
        <f t="shared" ref="I17:I18" si="16">4.95/(12000+H17)</f>
        <v>2.8392006599079324E-4</v>
      </c>
      <c r="K17">
        <f>0.5*10^-3</f>
        <v>5.0000000000000001E-4</v>
      </c>
      <c r="L17">
        <v>1116</v>
      </c>
      <c r="M17">
        <f t="shared" ref="M17:M18" si="17">(11865*L17*10^-3)/(4.95-$B$1-L17*10^-3)</f>
        <v>3453.6619718309857</v>
      </c>
      <c r="N17">
        <f t="shared" ref="N17:N18" si="18">4.95/(12000+M17)</f>
        <v>3.2031242879667526E-4</v>
      </c>
    </row>
    <row r="18" spans="1:14" x14ac:dyDescent="0.3">
      <c r="A18">
        <f>0.05*10^-3</f>
        <v>5.0000000000000002E-5</v>
      </c>
      <c r="B18">
        <v>2328</v>
      </c>
      <c r="C18">
        <f t="shared" si="13"/>
        <v>10534.599542334096</v>
      </c>
      <c r="D18">
        <f t="shared" si="14"/>
        <v>2.1966221279862548E-4</v>
      </c>
      <c r="F18">
        <f>0.05*10^-3</f>
        <v>5.0000000000000002E-5</v>
      </c>
      <c r="G18">
        <v>2190</v>
      </c>
      <c r="H18">
        <f t="shared" si="15"/>
        <v>9414.6195652173919</v>
      </c>
      <c r="I18">
        <f t="shared" si="16"/>
        <v>2.3115049907494119E-4</v>
      </c>
      <c r="K18">
        <f>0.05*10^-3</f>
        <v>5.0000000000000002E-5</v>
      </c>
      <c r="L18">
        <v>1913</v>
      </c>
      <c r="M18">
        <f t="shared" si="17"/>
        <v>7473.7388870595978</v>
      </c>
      <c r="N18">
        <f t="shared" si="18"/>
        <v>2.5418847550068063E-4</v>
      </c>
    </row>
    <row r="20" spans="1:14" x14ac:dyDescent="0.3">
      <c r="A20" s="3" t="s">
        <v>14</v>
      </c>
      <c r="B20" s="4"/>
      <c r="C20" s="4"/>
      <c r="D20" s="4"/>
      <c r="F20" s="3" t="s">
        <v>15</v>
      </c>
      <c r="G20" s="4"/>
      <c r="H20" s="4"/>
      <c r="I20" s="4"/>
      <c r="K20" s="3" t="s">
        <v>16</v>
      </c>
      <c r="L20" s="4"/>
      <c r="M20" s="4"/>
      <c r="N20" s="4"/>
    </row>
    <row r="21" spans="1:14" x14ac:dyDescent="0.3">
      <c r="A21" t="s">
        <v>0</v>
      </c>
      <c r="B21" t="s">
        <v>1</v>
      </c>
      <c r="C21" t="s">
        <v>2</v>
      </c>
      <c r="D21" t="s">
        <v>3</v>
      </c>
      <c r="F21" t="s">
        <v>0</v>
      </c>
      <c r="G21" t="s">
        <v>1</v>
      </c>
      <c r="H21" t="s">
        <v>2</v>
      </c>
      <c r="I21" t="s">
        <v>3</v>
      </c>
      <c r="K21" t="s">
        <v>0</v>
      </c>
      <c r="L21" t="s">
        <v>1</v>
      </c>
      <c r="M21" t="s">
        <v>2</v>
      </c>
      <c r="N21" t="s">
        <v>3</v>
      </c>
    </row>
    <row r="22" spans="1:14" x14ac:dyDescent="0.3">
      <c r="A22">
        <f>5*10^-3</f>
        <v>5.0000000000000001E-3</v>
      </c>
      <c r="B22">
        <v>2364</v>
      </c>
      <c r="C22">
        <f>(11865*B22*10^-3)/(4.95-$B$1-B22*10^-3)</f>
        <v>10846.426914153131</v>
      </c>
      <c r="D22">
        <f>4.95/(12000+C22)</f>
        <v>2.1666407699549398E-4</v>
      </c>
      <c r="F22">
        <f>5*10^-3</f>
        <v>5.0000000000000001E-3</v>
      </c>
      <c r="G22">
        <v>822</v>
      </c>
      <c r="H22">
        <f>(11865*G22*10^-3)/(4.95-$B$1-G22*10^-3)</f>
        <v>2362.6526162790697</v>
      </c>
      <c r="I22">
        <f>4.95/(12000+H22)</f>
        <v>3.4464385738812057E-4</v>
      </c>
      <c r="K22">
        <f>5*10^-3</f>
        <v>5.0000000000000001E-3</v>
      </c>
      <c r="L22">
        <v>397</v>
      </c>
      <c r="M22">
        <f>(11865*L22*10^-3)/(4.95-$B$1-L22*10^-3)</f>
        <v>1034.5717109598068</v>
      </c>
      <c r="N22">
        <f>4.95/(12000+M22)</f>
        <v>3.7975931313783881E-4</v>
      </c>
    </row>
    <row r="23" spans="1:14" x14ac:dyDescent="0.3">
      <c r="A23">
        <f>0.5*10^-3</f>
        <v>5.0000000000000001E-4</v>
      </c>
      <c r="B23">
        <v>2502</v>
      </c>
      <c r="C23">
        <f t="shared" ref="C23:C24" si="19">(11865*B23*10^-3)/(4.95-$B$1-B23*10^-3)</f>
        <v>12126.72794117647</v>
      </c>
      <c r="D23">
        <f t="shared" ref="D23:D24" si="20">4.95/(12000+C23)</f>
        <v>2.0516665219041003E-4</v>
      </c>
      <c r="F23">
        <f>0.5*10^-3</f>
        <v>5.0000000000000001E-4</v>
      </c>
      <c r="G23">
        <v>1785</v>
      </c>
      <c r="H23">
        <f t="shared" ref="H23:H24" si="21">(11865*G23*10^-3)/(4.95-$B$1-G23*10^-3)</f>
        <v>6691.6350710900479</v>
      </c>
      <c r="I23">
        <f t="shared" ref="I23:I24" si="22">4.95/(12000+H23)</f>
        <v>2.6482434421459784E-4</v>
      </c>
      <c r="K23">
        <f>0.5*10^-3</f>
        <v>5.0000000000000001E-4</v>
      </c>
      <c r="L23">
        <v>1158</v>
      </c>
      <c r="M23">
        <f t="shared" ref="M23:M24" si="23">(11865*L23*10^-3)/(4.95-$B$1-L23*10^-3)</f>
        <v>3623.3306962025313</v>
      </c>
      <c r="N23">
        <f t="shared" ref="N23:N24" si="24">4.95/(12000+M23)</f>
        <v>3.168338490846364E-4</v>
      </c>
    </row>
    <row r="24" spans="1:14" x14ac:dyDescent="0.3">
      <c r="A24">
        <f>0.05*10^-3</f>
        <v>5.0000000000000002E-5</v>
      </c>
      <c r="B24">
        <v>2520</v>
      </c>
      <c r="C24">
        <f t="shared" si="19"/>
        <v>12304.444444444443</v>
      </c>
      <c r="D24">
        <f t="shared" si="20"/>
        <v>2.0366645332358049E-4</v>
      </c>
      <c r="F24">
        <f>0.05*10^-3</f>
        <v>5.0000000000000002E-5</v>
      </c>
      <c r="G24">
        <v>2396</v>
      </c>
      <c r="H24">
        <f t="shared" si="21"/>
        <v>11130.986687548942</v>
      </c>
      <c r="I24">
        <f t="shared" si="22"/>
        <v>2.1399865327251732E-4</v>
      </c>
      <c r="K24">
        <f>0.05*10^-3</f>
        <v>5.0000000000000002E-5</v>
      </c>
      <c r="L24">
        <v>2020</v>
      </c>
      <c r="M24">
        <f t="shared" si="23"/>
        <v>8179.9658703071664</v>
      </c>
      <c r="N24">
        <f t="shared" si="24"/>
        <v>2.4529278353653896E-4</v>
      </c>
    </row>
    <row r="26" spans="1:14" x14ac:dyDescent="0.3">
      <c r="A26" s="3" t="s">
        <v>17</v>
      </c>
      <c r="B26" s="4"/>
      <c r="C26" s="4"/>
      <c r="D26" s="4"/>
      <c r="F26" s="3" t="s">
        <v>18</v>
      </c>
      <c r="G26" s="4"/>
      <c r="H26" s="4"/>
      <c r="I26" s="4"/>
      <c r="K26" s="3" t="s">
        <v>19</v>
      </c>
      <c r="L26" s="4"/>
      <c r="M26" s="4"/>
      <c r="N26" s="4"/>
    </row>
    <row r="27" spans="1:14" x14ac:dyDescent="0.3">
      <c r="A27" t="s">
        <v>0</v>
      </c>
      <c r="B27" t="s">
        <v>1</v>
      </c>
      <c r="C27" t="s">
        <v>2</v>
      </c>
      <c r="D27" t="s">
        <v>3</v>
      </c>
      <c r="F27" t="s">
        <v>0</v>
      </c>
      <c r="G27" t="s">
        <v>1</v>
      </c>
      <c r="H27" t="s">
        <v>2</v>
      </c>
      <c r="I27" t="s">
        <v>3</v>
      </c>
      <c r="K27" t="s">
        <v>0</v>
      </c>
      <c r="L27" t="s">
        <v>1</v>
      </c>
      <c r="M27" t="s">
        <v>2</v>
      </c>
      <c r="N27" t="s">
        <v>3</v>
      </c>
    </row>
    <row r="28" spans="1:14" x14ac:dyDescent="0.3">
      <c r="A28">
        <f>5*10^-3</f>
        <v>5.0000000000000001E-3</v>
      </c>
      <c r="B28">
        <v>2493</v>
      </c>
      <c r="C28">
        <f>(11865*B28*10^-3)/(4.95-$B$1-B28*10^-3)</f>
        <v>12038.846153846152</v>
      </c>
      <c r="D28">
        <f>4.95/(12000+C28)</f>
        <v>2.059167053327147E-4</v>
      </c>
      <c r="F28">
        <f>5*10^-3</f>
        <v>5.0000000000000001E-3</v>
      </c>
      <c r="G28">
        <v>976</v>
      </c>
      <c r="H28">
        <f>(11865*G28*10^-3)/(4.95-$B$1-G28*10^-3)</f>
        <v>2914.0010065425263</v>
      </c>
      <c r="I28">
        <f>4.95/(12000+H28)</f>
        <v>3.3190288761738158E-4</v>
      </c>
      <c r="K28">
        <f>5*10^-3</f>
        <v>5.0000000000000001E-3</v>
      </c>
      <c r="L28">
        <v>407</v>
      </c>
      <c r="M28">
        <f>(11865*L28*10^-3)/(4.95-$B$1-L28*10^-3)</f>
        <v>1062.9661016949153</v>
      </c>
      <c r="N28">
        <f>4.95/(12000+M28)</f>
        <v>3.7893384714193963E-4</v>
      </c>
    </row>
    <row r="29" spans="1:14" x14ac:dyDescent="0.3">
      <c r="A29">
        <f>0.5*10^-3</f>
        <v>5.0000000000000001E-4</v>
      </c>
      <c r="B29">
        <v>2555</v>
      </c>
      <c r="C29">
        <f t="shared" ref="C29:C30" si="25">(11865*B29*10^-3)/(4.95-$B$1-B29*10^-3)</f>
        <v>12657.651356993738</v>
      </c>
      <c r="D29">
        <f t="shared" ref="D29:D30" si="26">4.95/(12000+C29)</f>
        <v>2.0074904654680397E-4</v>
      </c>
      <c r="F29">
        <f>0.5*10^-3</f>
        <v>5.0000000000000001E-4</v>
      </c>
      <c r="G29">
        <v>1940</v>
      </c>
      <c r="H29">
        <f t="shared" ref="H29:H30" si="27">(11865*G29*10^-3)/(4.95-$B$1-G29*10^-3)</f>
        <v>7647.2093023255811</v>
      </c>
      <c r="I29">
        <f t="shared" ref="I29:I30" si="28">4.95/(12000+H29)</f>
        <v>2.519441781186748E-4</v>
      </c>
      <c r="K29">
        <f>0.5*10^-3</f>
        <v>5.0000000000000001E-4</v>
      </c>
      <c r="L29">
        <v>1175</v>
      </c>
      <c r="M29">
        <f t="shared" ref="M29:M30" si="29">(11865*L29*10^-3)/(4.95-$B$1-L29*10^-3)</f>
        <v>3693.0794701986752</v>
      </c>
      <c r="N29">
        <f t="shared" ref="N29:N30" si="30">4.95/(12000+M29)</f>
        <v>3.154256632294575E-4</v>
      </c>
    </row>
    <row r="30" spans="1:14" x14ac:dyDescent="0.3">
      <c r="A30">
        <f>0.05*10^-3</f>
        <v>5.0000000000000002E-5</v>
      </c>
      <c r="B30">
        <v>2556</v>
      </c>
      <c r="C30">
        <f t="shared" si="25"/>
        <v>12667.894736842105</v>
      </c>
      <c r="D30">
        <f t="shared" si="26"/>
        <v>2.0066568520770659E-4</v>
      </c>
      <c r="F30">
        <f>0.05*10^-3</f>
        <v>5.0000000000000002E-5</v>
      </c>
      <c r="G30">
        <v>2460</v>
      </c>
      <c r="H30">
        <f t="shared" si="27"/>
        <v>11722.048192771084</v>
      </c>
      <c r="I30">
        <f t="shared" si="28"/>
        <v>2.0866663619326233E-4</v>
      </c>
      <c r="K30">
        <f>0.05*10^-3</f>
        <v>5.0000000000000002E-5</v>
      </c>
      <c r="L30">
        <v>2045</v>
      </c>
      <c r="M30">
        <f t="shared" si="29"/>
        <v>8352.469879518072</v>
      </c>
      <c r="N30">
        <f t="shared" si="30"/>
        <v>2.4321372439329762E-4</v>
      </c>
    </row>
  </sheetData>
  <mergeCells count="15">
    <mergeCell ref="A2:D2"/>
    <mergeCell ref="F2:I2"/>
    <mergeCell ref="K2:N2"/>
    <mergeCell ref="A8:D8"/>
    <mergeCell ref="F8:I8"/>
    <mergeCell ref="K8:N8"/>
    <mergeCell ref="A26:D26"/>
    <mergeCell ref="F26:I26"/>
    <mergeCell ref="K26:N26"/>
    <mergeCell ref="A14:D14"/>
    <mergeCell ref="F14:I14"/>
    <mergeCell ref="K14:N14"/>
    <mergeCell ref="A20:D20"/>
    <mergeCell ref="F20:I20"/>
    <mergeCell ref="K20:N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1460-1772-4B25-8B3A-7D8E2698EF0A}">
  <dimension ref="A1:H5"/>
  <sheetViews>
    <sheetView topLeftCell="A2" workbookViewId="0">
      <selection activeCell="B30" sqref="B29:B30"/>
    </sheetView>
  </sheetViews>
  <sheetFormatPr baseColWidth="10" defaultRowHeight="14.4" x14ac:dyDescent="0.3"/>
  <sheetData>
    <row r="1" spans="1:8" x14ac:dyDescent="0.3">
      <c r="A1" t="s">
        <v>20</v>
      </c>
      <c r="D1" t="s">
        <v>24</v>
      </c>
      <c r="G1" t="s">
        <v>25</v>
      </c>
    </row>
    <row r="2" spans="1:8" x14ac:dyDescent="0.3">
      <c r="B2" t="s">
        <v>26</v>
      </c>
      <c r="E2" t="s">
        <v>26</v>
      </c>
      <c r="H2" t="s">
        <v>26</v>
      </c>
    </row>
    <row r="3" spans="1:8" x14ac:dyDescent="0.3">
      <c r="A3" t="s">
        <v>21</v>
      </c>
      <c r="B3">
        <v>186</v>
      </c>
      <c r="D3" t="s">
        <v>21</v>
      </c>
      <c r="E3">
        <v>341</v>
      </c>
      <c r="G3" t="s">
        <v>21</v>
      </c>
      <c r="H3">
        <v>313</v>
      </c>
    </row>
    <row r="4" spans="1:8" x14ac:dyDescent="0.3">
      <c r="A4" t="s">
        <v>22</v>
      </c>
      <c r="B4">
        <v>560</v>
      </c>
      <c r="D4" t="s">
        <v>22</v>
      </c>
      <c r="E4">
        <v>747</v>
      </c>
      <c r="G4" t="s">
        <v>22</v>
      </c>
      <c r="H4">
        <v>705</v>
      </c>
    </row>
    <row r="5" spans="1:8" x14ac:dyDescent="0.3">
      <c r="A5" t="s">
        <v>23</v>
      </c>
      <c r="B5">
        <v>930</v>
      </c>
      <c r="D5" t="s">
        <v>23</v>
      </c>
      <c r="E5">
        <v>965</v>
      </c>
      <c r="G5" t="s">
        <v>23</v>
      </c>
      <c r="H5">
        <v>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20B5-01FB-419F-9387-339D9711224E}">
  <dimension ref="A1:C12"/>
  <sheetViews>
    <sheetView tabSelected="1" workbookViewId="0">
      <selection activeCell="E14" sqref="E14"/>
    </sheetView>
  </sheetViews>
  <sheetFormatPr baseColWidth="10" defaultRowHeight="14.4" x14ac:dyDescent="0.3"/>
  <sheetData>
    <row r="1" spans="1:3" x14ac:dyDescent="0.3">
      <c r="B1" t="s">
        <v>29</v>
      </c>
      <c r="C1" t="s">
        <v>30</v>
      </c>
    </row>
    <row r="2" spans="1:3" x14ac:dyDescent="0.3">
      <c r="A2" t="s">
        <v>31</v>
      </c>
      <c r="B2">
        <v>0.01</v>
      </c>
      <c r="C2">
        <v>0</v>
      </c>
    </row>
    <row r="3" spans="1:3" x14ac:dyDescent="0.3">
      <c r="A3" t="s">
        <v>32</v>
      </c>
      <c r="B3">
        <v>1.25</v>
      </c>
      <c r="C3">
        <v>2.09</v>
      </c>
    </row>
    <row r="4" spans="1:3" x14ac:dyDescent="0.3">
      <c r="A4" t="s">
        <v>33</v>
      </c>
      <c r="B4">
        <v>1.1399999999999999</v>
      </c>
      <c r="C4">
        <v>1.63</v>
      </c>
    </row>
    <row r="5" spans="1:3" x14ac:dyDescent="0.3">
      <c r="A5" t="s">
        <v>34</v>
      </c>
      <c r="B5">
        <v>0.03</v>
      </c>
      <c r="C5">
        <v>0.02</v>
      </c>
    </row>
    <row r="6" spans="1:3" x14ac:dyDescent="0.3">
      <c r="A6" t="s">
        <v>35</v>
      </c>
    </row>
    <row r="7" spans="1:3" x14ac:dyDescent="0.3">
      <c r="A7" t="s">
        <v>34</v>
      </c>
      <c r="B7">
        <v>0.33</v>
      </c>
      <c r="C7">
        <v>0.34</v>
      </c>
    </row>
    <row r="8" spans="1:3" x14ac:dyDescent="0.3">
      <c r="A8" t="s">
        <v>36</v>
      </c>
      <c r="B8">
        <v>0.81</v>
      </c>
      <c r="C8">
        <v>0.98</v>
      </c>
    </row>
    <row r="10" spans="1:3" x14ac:dyDescent="0.3">
      <c r="A10" t="s">
        <v>36</v>
      </c>
    </row>
    <row r="11" spans="1:3" x14ac:dyDescent="0.3">
      <c r="A11" t="s">
        <v>33</v>
      </c>
      <c r="B11">
        <v>0.84</v>
      </c>
      <c r="C11">
        <v>1.07</v>
      </c>
    </row>
    <row r="12" spans="1:3" x14ac:dyDescent="0.3">
      <c r="A12" t="s">
        <v>34</v>
      </c>
      <c r="B12">
        <v>0.93</v>
      </c>
      <c r="C12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AMARILLO</vt:lpstr>
      <vt:lpstr>VERDE</vt:lpstr>
      <vt:lpstr>AZUL</vt:lpstr>
      <vt:lpstr>NEUTRO</vt:lpstr>
      <vt:lpstr>COMPARACION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2026-03-05T00:25:34Z</dcterms:created>
  <dcterms:modified xsi:type="dcterms:W3CDTF">2026-03-10T01:09:14Z</dcterms:modified>
</cp:coreProperties>
</file>