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emdows\UNSAAC\SEMESTRE X\LABORATORIO DE BIOINGENIERIA\lab-bioingenieria\3. FOTOCOLORIMETRIA Y ESPECTROMETRIA\"/>
    </mc:Choice>
  </mc:AlternateContent>
  <xr:revisionPtr revIDLastSave="0" documentId="13_ncr:1_{B4812C06-D54E-431E-AFDC-D07F799076D5}" xr6:coauthVersionLast="47" xr6:coauthVersionMax="47" xr10:uidLastSave="{00000000-0000-0000-0000-000000000000}"/>
  <bookViews>
    <workbookView xWindow="-108" yWindow="348" windowWidth="23256" windowHeight="12720" activeTab="2" xr2:uid="{AAEFF1F0-5AAE-48C0-BB98-9C63114C539F}"/>
  </bookViews>
  <sheets>
    <sheet name="AMARILLO" sheetId="3" r:id="rId1"/>
    <sheet name="VERDE" sheetId="1" r:id="rId2"/>
    <sheet name="AZUL" sheetId="2" r:id="rId3"/>
    <sheet name="NEUTR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2" l="1"/>
  <c r="H29" i="2"/>
  <c r="H28" i="2"/>
  <c r="H27" i="2"/>
  <c r="H26" i="2"/>
  <c r="H25" i="2"/>
  <c r="M25" i="2" s="1"/>
  <c r="R52" i="2"/>
  <c r="S52" i="2" s="1"/>
  <c r="O52" i="2"/>
  <c r="R51" i="2"/>
  <c r="S51" i="2" s="1"/>
  <c r="O51" i="2"/>
  <c r="R50" i="2"/>
  <c r="S50" i="2" s="1"/>
  <c r="O50" i="2"/>
  <c r="R49" i="2"/>
  <c r="S49" i="2" s="1"/>
  <c r="O49" i="2"/>
  <c r="T49" i="2" s="1"/>
  <c r="R48" i="2"/>
  <c r="S48" i="2" s="1"/>
  <c r="O48" i="2"/>
  <c r="K52" i="2"/>
  <c r="L52" i="2" s="1"/>
  <c r="H52" i="2"/>
  <c r="K51" i="2"/>
  <c r="L51" i="2" s="1"/>
  <c r="H51" i="2"/>
  <c r="K50" i="2"/>
  <c r="L50" i="2" s="1"/>
  <c r="H50" i="2"/>
  <c r="K49" i="2"/>
  <c r="L49" i="2" s="1"/>
  <c r="H49" i="2"/>
  <c r="M49" i="2" s="1"/>
  <c r="K48" i="2"/>
  <c r="L48" i="2" s="1"/>
  <c r="H48" i="2"/>
  <c r="A52" i="2"/>
  <c r="A51" i="2"/>
  <c r="A50" i="2"/>
  <c r="F50" i="2" s="1"/>
  <c r="A49" i="2"/>
  <c r="A48" i="2"/>
  <c r="D52" i="2"/>
  <c r="E52" i="2" s="1"/>
  <c r="F52" i="2" s="1"/>
  <c r="D51" i="2"/>
  <c r="E51" i="2" s="1"/>
  <c r="D50" i="2"/>
  <c r="E50" i="2" s="1"/>
  <c r="D49" i="2"/>
  <c r="E49" i="2" s="1"/>
  <c r="D48" i="2"/>
  <c r="E48" i="2" s="1"/>
  <c r="A26" i="2"/>
  <c r="A27" i="2"/>
  <c r="A28" i="2"/>
  <c r="A29" i="2"/>
  <c r="A25" i="2"/>
  <c r="S29" i="2"/>
  <c r="T29" i="2" s="1"/>
  <c r="U29" i="2" s="1"/>
  <c r="P29" i="2"/>
  <c r="S28" i="2"/>
  <c r="T28" i="2" s="1"/>
  <c r="P28" i="2"/>
  <c r="S27" i="2"/>
  <c r="T27" i="2" s="1"/>
  <c r="U27" i="2" s="1"/>
  <c r="P27" i="2"/>
  <c r="S26" i="2"/>
  <c r="T26" i="2" s="1"/>
  <c r="P26" i="2"/>
  <c r="S25" i="2"/>
  <c r="T25" i="2" s="1"/>
  <c r="U25" i="2" s="1"/>
  <c r="P25" i="2"/>
  <c r="K29" i="2"/>
  <c r="L29" i="2" s="1"/>
  <c r="K28" i="2"/>
  <c r="L28" i="2" s="1"/>
  <c r="M28" i="2"/>
  <c r="K27" i="2"/>
  <c r="L27" i="2" s="1"/>
  <c r="K26" i="2"/>
  <c r="L26" i="2" s="1"/>
  <c r="M26" i="2"/>
  <c r="K25" i="2"/>
  <c r="L25" i="2" s="1"/>
  <c r="D29" i="2"/>
  <c r="E29" i="2" s="1"/>
  <c r="D28" i="2"/>
  <c r="E28" i="2" s="1"/>
  <c r="D27" i="2"/>
  <c r="E27" i="2" s="1"/>
  <c r="F27" i="2"/>
  <c r="D26" i="2"/>
  <c r="E26" i="2" s="1"/>
  <c r="F26" i="2"/>
  <c r="D25" i="2"/>
  <c r="F25" i="2" s="1"/>
  <c r="D28" i="1"/>
  <c r="E28" i="1" s="1"/>
  <c r="A28" i="1"/>
  <c r="D27" i="1"/>
  <c r="E27" i="1" s="1"/>
  <c r="A27" i="1"/>
  <c r="D26" i="1"/>
  <c r="E26" i="1" s="1"/>
  <c r="A26" i="1"/>
  <c r="D25" i="1"/>
  <c r="E25" i="1" s="1"/>
  <c r="A25" i="1"/>
  <c r="F25" i="1" s="1"/>
  <c r="D24" i="1"/>
  <c r="E24" i="1" s="1"/>
  <c r="A24" i="1"/>
  <c r="F24" i="1" s="1"/>
  <c r="Y31" i="3"/>
  <c r="Z31" i="3" s="1"/>
  <c r="V31" i="3"/>
  <c r="Y30" i="3"/>
  <c r="Z30" i="3" s="1"/>
  <c r="V30" i="3"/>
  <c r="Y29" i="3"/>
  <c r="Z29" i="3" s="1"/>
  <c r="V29" i="3"/>
  <c r="Y28" i="3"/>
  <c r="Z28" i="3" s="1"/>
  <c r="V28" i="3"/>
  <c r="Y27" i="3"/>
  <c r="Z27" i="3" s="1"/>
  <c r="V27" i="3"/>
  <c r="R31" i="3"/>
  <c r="S31" i="3" s="1"/>
  <c r="O31" i="3"/>
  <c r="R30" i="3"/>
  <c r="S30" i="3" s="1"/>
  <c r="O30" i="3"/>
  <c r="R29" i="3"/>
  <c r="S29" i="3" s="1"/>
  <c r="O29" i="3"/>
  <c r="R28" i="3"/>
  <c r="S28" i="3" s="1"/>
  <c r="O28" i="3"/>
  <c r="T28" i="3" s="1"/>
  <c r="R27" i="3"/>
  <c r="S27" i="3" s="1"/>
  <c r="O27" i="3"/>
  <c r="H28" i="3"/>
  <c r="H29" i="3"/>
  <c r="H30" i="3"/>
  <c r="H31" i="3"/>
  <c r="H27" i="3"/>
  <c r="H6" i="3"/>
  <c r="H3" i="3"/>
  <c r="H4" i="3"/>
  <c r="H5" i="3"/>
  <c r="H2" i="3"/>
  <c r="K31" i="3"/>
  <c r="L31" i="3" s="1"/>
  <c r="M31" i="3" s="1"/>
  <c r="K30" i="3"/>
  <c r="L30" i="3" s="1"/>
  <c r="M30" i="3" s="1"/>
  <c r="K29" i="3"/>
  <c r="L29" i="3" s="1"/>
  <c r="M29" i="3" s="1"/>
  <c r="K28" i="3"/>
  <c r="L28" i="3" s="1"/>
  <c r="M28" i="3" s="1"/>
  <c r="K27" i="3"/>
  <c r="L27" i="3" s="1"/>
  <c r="K3" i="1"/>
  <c r="K4" i="1"/>
  <c r="K5" i="1"/>
  <c r="L5" i="1" s="1"/>
  <c r="K6" i="1"/>
  <c r="L3" i="1"/>
  <c r="L4" i="1"/>
  <c r="L6" i="1"/>
  <c r="M6" i="1" s="1"/>
  <c r="L2" i="1"/>
  <c r="K2" i="1"/>
  <c r="R6" i="3"/>
  <c r="S6" i="3" s="1"/>
  <c r="T6" i="3" s="1"/>
  <c r="O6" i="3"/>
  <c r="R5" i="3"/>
  <c r="S5" i="3" s="1"/>
  <c r="O5" i="3"/>
  <c r="R4" i="3"/>
  <c r="S4" i="3" s="1"/>
  <c r="T4" i="3" s="1"/>
  <c r="O4" i="3"/>
  <c r="R3" i="3"/>
  <c r="S3" i="3" s="1"/>
  <c r="O3" i="3"/>
  <c r="R2" i="3"/>
  <c r="S2" i="3" s="1"/>
  <c r="T2" i="3" s="1"/>
  <c r="O2" i="3"/>
  <c r="K6" i="3"/>
  <c r="L6" i="3" s="1"/>
  <c r="K5" i="3"/>
  <c r="L5" i="3" s="1"/>
  <c r="K4" i="3"/>
  <c r="L4" i="3" s="1"/>
  <c r="K3" i="3"/>
  <c r="L3" i="3" s="1"/>
  <c r="K2" i="3"/>
  <c r="L2" i="3" s="1"/>
  <c r="D6" i="3"/>
  <c r="E6" i="3" s="1"/>
  <c r="A6" i="3"/>
  <c r="F6" i="3" s="1"/>
  <c r="D5" i="3"/>
  <c r="E5" i="3" s="1"/>
  <c r="A5" i="3"/>
  <c r="D4" i="3"/>
  <c r="E4" i="3" s="1"/>
  <c r="A4" i="3"/>
  <c r="D3" i="3"/>
  <c r="E3" i="3" s="1"/>
  <c r="A3" i="3"/>
  <c r="D2" i="3"/>
  <c r="E2" i="3" s="1"/>
  <c r="A2" i="3"/>
  <c r="R6" i="1"/>
  <c r="S6" i="1" s="1"/>
  <c r="O6" i="1"/>
  <c r="R5" i="1"/>
  <c r="S5" i="1" s="1"/>
  <c r="O5" i="1"/>
  <c r="R4" i="1"/>
  <c r="S4" i="1" s="1"/>
  <c r="O4" i="1"/>
  <c r="R3" i="1"/>
  <c r="S3" i="1" s="1"/>
  <c r="O3" i="1"/>
  <c r="R2" i="1"/>
  <c r="S2" i="1" s="1"/>
  <c r="O2" i="1"/>
  <c r="H6" i="1"/>
  <c r="H5" i="1"/>
  <c r="M4" i="1"/>
  <c r="H4" i="1"/>
  <c r="H3" i="1"/>
  <c r="H2" i="1"/>
  <c r="R6" i="2"/>
  <c r="S6" i="2" s="1"/>
  <c r="O6" i="2"/>
  <c r="R5" i="2"/>
  <c r="S5" i="2" s="1"/>
  <c r="O5" i="2"/>
  <c r="R4" i="2"/>
  <c r="S4" i="2" s="1"/>
  <c r="O4" i="2"/>
  <c r="R3" i="2"/>
  <c r="S3" i="2" s="1"/>
  <c r="O3" i="2"/>
  <c r="R2" i="2"/>
  <c r="S2" i="2" s="1"/>
  <c r="O2" i="2"/>
  <c r="K6" i="2"/>
  <c r="L6" i="2" s="1"/>
  <c r="H6" i="2"/>
  <c r="K5" i="2"/>
  <c r="L5" i="2" s="1"/>
  <c r="H5" i="2"/>
  <c r="K4" i="2"/>
  <c r="L4" i="2" s="1"/>
  <c r="H4" i="2"/>
  <c r="K3" i="2"/>
  <c r="L3" i="2" s="1"/>
  <c r="H3" i="2"/>
  <c r="K2" i="2"/>
  <c r="L2" i="2" s="1"/>
  <c r="H2" i="2"/>
  <c r="D6" i="2"/>
  <c r="E6" i="2" s="1"/>
  <c r="A6" i="2"/>
  <c r="D5" i="2"/>
  <c r="E5" i="2" s="1"/>
  <c r="A5" i="2"/>
  <c r="D4" i="2"/>
  <c r="E4" i="2" s="1"/>
  <c r="A4" i="2"/>
  <c r="D3" i="2"/>
  <c r="E3" i="2" s="1"/>
  <c r="A3" i="2"/>
  <c r="D2" i="2"/>
  <c r="E2" i="2" s="1"/>
  <c r="A2" i="2"/>
  <c r="A3" i="1"/>
  <c r="A4" i="1"/>
  <c r="A5" i="1"/>
  <c r="A6" i="1"/>
  <c r="A2" i="1"/>
  <c r="D6" i="1"/>
  <c r="E6" i="1" s="1"/>
  <c r="F6" i="1" s="1"/>
  <c r="D5" i="1"/>
  <c r="E5" i="1" s="1"/>
  <c r="F5" i="1" s="1"/>
  <c r="D4" i="1"/>
  <c r="E4" i="1" s="1"/>
  <c r="F4" i="1" s="1"/>
  <c r="D3" i="1"/>
  <c r="E3" i="1" s="1"/>
  <c r="F3" i="1" s="1"/>
  <c r="D2" i="1"/>
  <c r="E2" i="1" s="1"/>
  <c r="F2" i="1" s="1"/>
  <c r="T51" i="2" l="1"/>
  <c r="T50" i="2"/>
  <c r="T48" i="2"/>
  <c r="T52" i="2"/>
  <c r="M52" i="2"/>
  <c r="M50" i="2"/>
  <c r="M48" i="2"/>
  <c r="M51" i="2"/>
  <c r="F49" i="2"/>
  <c r="F48" i="2"/>
  <c r="F51" i="2"/>
  <c r="U26" i="2"/>
  <c r="U28" i="2"/>
  <c r="M29" i="2"/>
  <c r="M27" i="2"/>
  <c r="F28" i="2"/>
  <c r="F29" i="2"/>
  <c r="F28" i="1"/>
  <c r="F26" i="1"/>
  <c r="F27" i="1"/>
  <c r="AA28" i="3"/>
  <c r="AA29" i="3"/>
  <c r="AA30" i="3"/>
  <c r="AA27" i="3"/>
  <c r="AA31" i="3"/>
  <c r="T31" i="3"/>
  <c r="T27" i="3"/>
  <c r="T29" i="3"/>
  <c r="T30" i="3"/>
  <c r="M27" i="3"/>
  <c r="M2" i="1"/>
  <c r="T3" i="3"/>
  <c r="M5" i="3"/>
  <c r="M3" i="3"/>
  <c r="F3" i="3"/>
  <c r="F2" i="3"/>
  <c r="T5" i="3"/>
  <c r="M4" i="3"/>
  <c r="M2" i="3"/>
  <c r="M6" i="3"/>
  <c r="F4" i="3"/>
  <c r="F5" i="3"/>
  <c r="T4" i="1"/>
  <c r="T3" i="1"/>
  <c r="T5" i="1"/>
  <c r="T2" i="1"/>
  <c r="T6" i="1"/>
  <c r="M5" i="1"/>
  <c r="M3" i="1"/>
  <c r="T4" i="2"/>
  <c r="T3" i="2"/>
  <c r="T5" i="2"/>
  <c r="T2" i="2"/>
  <c r="T6" i="2"/>
  <c r="M4" i="2"/>
  <c r="M3" i="2"/>
  <c r="M5" i="2"/>
  <c r="M2" i="2"/>
  <c r="M6" i="2"/>
  <c r="F2" i="2"/>
  <c r="F3" i="2"/>
  <c r="F4" i="2"/>
  <c r="F5" i="2"/>
  <c r="F6" i="2"/>
</calcChain>
</file>

<file path=xl/sharedStrings.xml><?xml version="1.0" encoding="utf-8"?>
<sst xmlns="http://schemas.openxmlformats.org/spreadsheetml/2006/main" count="24" uniqueCount="15">
  <si>
    <t>Verde - Lrojo</t>
  </si>
  <si>
    <t>Azul - Lrojo</t>
  </si>
  <si>
    <t>Azul - Lverde</t>
  </si>
  <si>
    <t>Azul - Lazul</t>
  </si>
  <si>
    <t>Verde - Lverde</t>
  </si>
  <si>
    <t>Amarillo - Lrojo</t>
  </si>
  <si>
    <t>Amarillo - Lazul</t>
  </si>
  <si>
    <t>Amarillo - Lverde</t>
  </si>
  <si>
    <t>5ma</t>
  </si>
  <si>
    <t>Lrojo</t>
  </si>
  <si>
    <t>V [mV]</t>
  </si>
  <si>
    <t>0.5ma</t>
  </si>
  <si>
    <t>0.05ma</t>
  </si>
  <si>
    <t>Lverde</t>
  </si>
  <si>
    <t>Lazul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</si>
</sst>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AMARILLO!$B$2:$B$6</c:f>
              <c:numCache>
                <c:formatCode>General</c:formatCode>
                <c:ptCount val="5"/>
                <c:pt idx="0">
                  <c:v>0.1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xVal>
          <c:yVal>
            <c:numRef>
              <c:f>AMARILLO!$C$2:$C$6</c:f>
              <c:numCache>
                <c:formatCode>General</c:formatCode>
                <c:ptCount val="5"/>
                <c:pt idx="0">
                  <c:v>187</c:v>
                </c:pt>
                <c:pt idx="1">
                  <c:v>188</c:v>
                </c:pt>
                <c:pt idx="2">
                  <c:v>187</c:v>
                </c:pt>
                <c:pt idx="3">
                  <c:v>189</c:v>
                </c:pt>
                <c:pt idx="4">
                  <c:v>192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AC2-4410-8437-8E76755C2A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9745855"/>
        <c:axId val="669740575"/>
      </c:scatterChart>
      <c:valAx>
        <c:axId val="669745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669740575"/>
        <c:crosses val="autoZero"/>
        <c:crossBetween val="midCat"/>
      </c:valAx>
      <c:valAx>
        <c:axId val="669740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669745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AMARILLO!$I$2:$I$6</c:f>
              <c:numCache>
                <c:formatCode>General</c:formatCode>
                <c:ptCount val="5"/>
                <c:pt idx="0">
                  <c:v>0.1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xVal>
          <c:yVal>
            <c:numRef>
              <c:f>AMARILLO!$J$2:$J$6</c:f>
              <c:numCache>
                <c:formatCode>General</c:formatCode>
                <c:ptCount val="5"/>
                <c:pt idx="0">
                  <c:v>355</c:v>
                </c:pt>
                <c:pt idx="1">
                  <c:v>367</c:v>
                </c:pt>
                <c:pt idx="2">
                  <c:v>359</c:v>
                </c:pt>
                <c:pt idx="3">
                  <c:v>366</c:v>
                </c:pt>
                <c:pt idx="4">
                  <c:v>376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5F5-4AD9-A10C-F520343B08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9739135"/>
        <c:axId val="669730975"/>
      </c:scatterChart>
      <c:valAx>
        <c:axId val="669739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669730975"/>
        <c:crosses val="autoZero"/>
        <c:crossBetween val="midCat"/>
      </c:valAx>
      <c:valAx>
        <c:axId val="66973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6697391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AMARILLO!$P$2:$P$6</c:f>
              <c:numCache>
                <c:formatCode>General</c:formatCode>
                <c:ptCount val="5"/>
                <c:pt idx="0">
                  <c:v>0.1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xVal>
          <c:yVal>
            <c:numRef>
              <c:f>AMARILLO!$Q$2:$Q$6</c:f>
              <c:numCache>
                <c:formatCode>General</c:formatCode>
                <c:ptCount val="5"/>
                <c:pt idx="0">
                  <c:v>433</c:v>
                </c:pt>
                <c:pt idx="1">
                  <c:v>668</c:v>
                </c:pt>
                <c:pt idx="2">
                  <c:v>756</c:v>
                </c:pt>
                <c:pt idx="3">
                  <c:v>905</c:v>
                </c:pt>
                <c:pt idx="4">
                  <c:v>926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AC5-448F-A265-0071F222E1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9730495"/>
        <c:axId val="669731455"/>
      </c:scatterChart>
      <c:valAx>
        <c:axId val="66973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669731455"/>
        <c:crosses val="autoZero"/>
        <c:crossBetween val="midCat"/>
      </c:valAx>
      <c:valAx>
        <c:axId val="669731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669730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AMARILLO!$I$27:$I$31</c:f>
              <c:numCache>
                <c:formatCode>General</c:formatCode>
                <c:ptCount val="5"/>
                <c:pt idx="0">
                  <c:v>0.1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xVal>
          <c:yVal>
            <c:numRef>
              <c:f>AMARILLO!$J$27:$J$31</c:f>
              <c:numCache>
                <c:formatCode>General</c:formatCode>
                <c:ptCount val="5"/>
                <c:pt idx="0">
                  <c:v>595</c:v>
                </c:pt>
                <c:pt idx="1">
                  <c:v>635</c:v>
                </c:pt>
                <c:pt idx="2">
                  <c:v>587</c:v>
                </c:pt>
                <c:pt idx="3">
                  <c:v>622</c:v>
                </c:pt>
                <c:pt idx="4">
                  <c:v>615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148-4D54-88EE-A51195462F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9748255"/>
        <c:axId val="669749695"/>
      </c:scatterChart>
      <c:valAx>
        <c:axId val="669748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669749695"/>
        <c:crosses val="autoZero"/>
        <c:crossBetween val="midCat"/>
      </c:valAx>
      <c:valAx>
        <c:axId val="669749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669748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AMARILLO!$P$27:$P$31</c:f>
              <c:numCache>
                <c:formatCode>General</c:formatCode>
                <c:ptCount val="5"/>
                <c:pt idx="0">
                  <c:v>0.1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xVal>
          <c:yVal>
            <c:numRef>
              <c:f>AMARILLO!$Q$27:$Q$31</c:f>
              <c:numCache>
                <c:formatCode>General</c:formatCode>
                <c:ptCount val="5"/>
                <c:pt idx="0">
                  <c:v>828</c:v>
                </c:pt>
                <c:pt idx="1">
                  <c:v>918</c:v>
                </c:pt>
                <c:pt idx="2">
                  <c:v>805</c:v>
                </c:pt>
                <c:pt idx="3">
                  <c:v>869</c:v>
                </c:pt>
                <c:pt idx="4">
                  <c:v>852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CA2-4098-BFC3-775AF75D43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9761215"/>
        <c:axId val="2135130655"/>
      </c:scatterChart>
      <c:valAx>
        <c:axId val="669761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135130655"/>
        <c:crosses val="autoZero"/>
        <c:crossBetween val="midCat"/>
      </c:valAx>
      <c:valAx>
        <c:axId val="213513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6697612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AMARILLO!$W$27:$W$31</c:f>
              <c:numCache>
                <c:formatCode>General</c:formatCode>
                <c:ptCount val="5"/>
                <c:pt idx="0">
                  <c:v>0.1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xVal>
          <c:yVal>
            <c:numRef>
              <c:f>AMARILLO!$X$27:$X$31</c:f>
              <c:numCache>
                <c:formatCode>General</c:formatCode>
                <c:ptCount val="5"/>
                <c:pt idx="0">
                  <c:v>886</c:v>
                </c:pt>
                <c:pt idx="1">
                  <c:v>1259</c:v>
                </c:pt>
                <c:pt idx="2">
                  <c:v>1042</c:v>
                </c:pt>
                <c:pt idx="3">
                  <c:v>1210</c:v>
                </c:pt>
                <c:pt idx="4">
                  <c:v>1144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6DF-4F3C-B06D-5D6127BC14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9758815"/>
        <c:axId val="669759775"/>
      </c:scatterChart>
      <c:valAx>
        <c:axId val="669758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669759775"/>
        <c:crosses val="autoZero"/>
        <c:crossBetween val="midCat"/>
      </c:valAx>
      <c:valAx>
        <c:axId val="669759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6697588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2607589676290463"/>
                  <c:y val="0.1014351851851851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E"/>
                </a:p>
              </c:txPr>
            </c:trendlineLbl>
          </c:trendline>
          <c:xVal>
            <c:numRef>
              <c:f>VERDE!$B$2:$B$6</c:f>
              <c:numCache>
                <c:formatCode>General</c:formatCode>
                <c:ptCount val="5"/>
                <c:pt idx="0">
                  <c:v>0.1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xVal>
          <c:yVal>
            <c:numRef>
              <c:f>VERDE!$C$2:$C$6</c:f>
              <c:numCache>
                <c:formatCode>General</c:formatCode>
                <c:ptCount val="5"/>
                <c:pt idx="0">
                  <c:v>298</c:v>
                </c:pt>
                <c:pt idx="1">
                  <c:v>504</c:v>
                </c:pt>
                <c:pt idx="2">
                  <c:v>2700</c:v>
                </c:pt>
                <c:pt idx="3">
                  <c:v>1772</c:v>
                </c:pt>
                <c:pt idx="4">
                  <c:v>2175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CA6-4E40-871E-3205976D9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4644415"/>
        <c:axId val="304645855"/>
      </c:scatterChart>
      <c:valAx>
        <c:axId val="304644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04645855"/>
        <c:crosses val="autoZero"/>
        <c:crossBetween val="midCat"/>
      </c:valAx>
      <c:valAx>
        <c:axId val="30464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046444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VERDE!$I$2:$I$6</c:f>
              <c:numCache>
                <c:formatCode>General</c:formatCode>
                <c:ptCount val="5"/>
                <c:pt idx="0">
                  <c:v>0.1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xVal>
          <c:yVal>
            <c:numRef>
              <c:f>VERDE!$J$2:$J$6</c:f>
              <c:numCache>
                <c:formatCode>General</c:formatCode>
                <c:ptCount val="5"/>
                <c:pt idx="0">
                  <c:v>404</c:v>
                </c:pt>
                <c:pt idx="1">
                  <c:v>460</c:v>
                </c:pt>
                <c:pt idx="2">
                  <c:v>555</c:v>
                </c:pt>
                <c:pt idx="3">
                  <c:v>636</c:v>
                </c:pt>
                <c:pt idx="4">
                  <c:v>768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F2E-4DCC-A31B-DADCA2082A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2651839"/>
        <c:axId val="2080277951"/>
      </c:scatterChart>
      <c:valAx>
        <c:axId val="2072651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80277951"/>
        <c:crosses val="autoZero"/>
        <c:crossBetween val="midCat"/>
      </c:valAx>
      <c:valAx>
        <c:axId val="2080277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726518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VERDE!$P$2:$P$6</c:f>
              <c:numCache>
                <c:formatCode>General</c:formatCode>
                <c:ptCount val="5"/>
                <c:pt idx="0">
                  <c:v>0.1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xVal>
          <c:yVal>
            <c:numRef>
              <c:f>VERDE!$Q$2:$Q$6</c:f>
              <c:numCache>
                <c:formatCode>General</c:formatCode>
                <c:ptCount val="5"/>
                <c:pt idx="0">
                  <c:v>413</c:v>
                </c:pt>
                <c:pt idx="1">
                  <c:v>523</c:v>
                </c:pt>
                <c:pt idx="2">
                  <c:v>748</c:v>
                </c:pt>
                <c:pt idx="3">
                  <c:v>976</c:v>
                </c:pt>
                <c:pt idx="4">
                  <c:v>1212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1C-4A73-B5F5-FB1D5DEE7D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9741535"/>
        <c:axId val="669731935"/>
      </c:scatterChart>
      <c:valAx>
        <c:axId val="669741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669731935"/>
        <c:crosses val="autoZero"/>
        <c:crossBetween val="midCat"/>
      </c:valAx>
      <c:valAx>
        <c:axId val="669731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669741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VERDE!$B$24:$B$28</c:f>
              <c:numCache>
                <c:formatCode>General</c:formatCode>
                <c:ptCount val="5"/>
                <c:pt idx="0">
                  <c:v>0.1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xVal>
          <c:yVal>
            <c:numRef>
              <c:f>VERDE!$C$24:$C$28</c:f>
              <c:numCache>
                <c:formatCode>General</c:formatCode>
                <c:ptCount val="5"/>
                <c:pt idx="0">
                  <c:v>909</c:v>
                </c:pt>
                <c:pt idx="1">
                  <c:v>1365</c:v>
                </c:pt>
                <c:pt idx="2">
                  <c:v>2086</c:v>
                </c:pt>
                <c:pt idx="3">
                  <c:v>2467</c:v>
                </c:pt>
                <c:pt idx="4">
                  <c:v>2537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632-44DB-BD93-34F956FDB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5123935"/>
        <c:axId val="2135124895"/>
      </c:scatterChart>
      <c:valAx>
        <c:axId val="2135123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135124895"/>
        <c:crosses val="autoZero"/>
        <c:crossBetween val="midCat"/>
      </c:valAx>
      <c:valAx>
        <c:axId val="2135124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1351239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AZUL!$B$2:$B$6</c:f>
              <c:numCache>
                <c:formatCode>General</c:formatCode>
                <c:ptCount val="5"/>
                <c:pt idx="0">
                  <c:v>0.1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xVal>
          <c:yVal>
            <c:numRef>
              <c:f>AZUL!$F$2:$F$6</c:f>
              <c:numCache>
                <c:formatCode>General</c:formatCode>
                <c:ptCount val="5"/>
                <c:pt idx="0">
                  <c:v>1.1405780335954632</c:v>
                </c:pt>
                <c:pt idx="1">
                  <c:v>1.2457367359082563</c:v>
                </c:pt>
                <c:pt idx="2">
                  <c:v>1.6763277338813203</c:v>
                </c:pt>
                <c:pt idx="3">
                  <c:v>1.901664811343498</c:v>
                </c:pt>
                <c:pt idx="4">
                  <c:v>1.9994513019081828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75D-430F-AE5F-48DD090A06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0275551"/>
        <c:axId val="2080183615"/>
      </c:scatterChart>
      <c:valAx>
        <c:axId val="2080275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80183615"/>
        <c:crosses val="autoZero"/>
        <c:crossBetween val="midCat"/>
      </c:valAx>
      <c:valAx>
        <c:axId val="2080183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80275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E"/>
                </a:p>
              </c:txPr>
            </c:trendlineLbl>
          </c:trendline>
          <c:xVal>
            <c:numRef>
              <c:f>AZUL!$I$2:$I$6</c:f>
              <c:numCache>
                <c:formatCode>General</c:formatCode>
                <c:ptCount val="5"/>
                <c:pt idx="0">
                  <c:v>0.1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xVal>
          <c:yVal>
            <c:numRef>
              <c:f>AZUL!$J$2:$J$6</c:f>
              <c:numCache>
                <c:formatCode>General</c:formatCode>
                <c:ptCount val="5"/>
                <c:pt idx="0">
                  <c:v>475</c:v>
                </c:pt>
                <c:pt idx="1">
                  <c:v>580</c:v>
                </c:pt>
                <c:pt idx="2">
                  <c:v>801</c:v>
                </c:pt>
                <c:pt idx="3">
                  <c:v>1073</c:v>
                </c:pt>
                <c:pt idx="4">
                  <c:v>1263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F6E-4071-931B-1FA785B783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8383695"/>
        <c:axId val="658375535"/>
      </c:scatterChart>
      <c:valAx>
        <c:axId val="658383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658375535"/>
        <c:crosses val="autoZero"/>
        <c:crossBetween val="midCat"/>
      </c:valAx>
      <c:valAx>
        <c:axId val="658375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6583836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E"/>
                </a:p>
              </c:txPr>
            </c:trendlineLbl>
          </c:trendline>
          <c:xVal>
            <c:numRef>
              <c:f>AZUL!$P$2:$P$6</c:f>
              <c:numCache>
                <c:formatCode>General</c:formatCode>
                <c:ptCount val="5"/>
                <c:pt idx="0">
                  <c:v>0.1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xVal>
          <c:yVal>
            <c:numRef>
              <c:f>AZUL!$Q$2:$Q$6</c:f>
              <c:numCache>
                <c:formatCode>General</c:formatCode>
                <c:ptCount val="5"/>
                <c:pt idx="0">
                  <c:v>349</c:v>
                </c:pt>
                <c:pt idx="1">
                  <c:v>365</c:v>
                </c:pt>
                <c:pt idx="2">
                  <c:v>382</c:v>
                </c:pt>
                <c:pt idx="3">
                  <c:v>397</c:v>
                </c:pt>
                <c:pt idx="4">
                  <c:v>407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21-441D-8E1C-830EC3830A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7858543"/>
        <c:axId val="557859983"/>
      </c:scatterChart>
      <c:valAx>
        <c:axId val="557858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57859983"/>
        <c:crosses val="autoZero"/>
        <c:crossBetween val="midCat"/>
      </c:valAx>
      <c:valAx>
        <c:axId val="557859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578585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AZUL!$B$25:$B$29</c:f>
              <c:numCache>
                <c:formatCode>General</c:formatCode>
                <c:ptCount val="5"/>
                <c:pt idx="0">
                  <c:v>0.1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xVal>
          <c:yVal>
            <c:numRef>
              <c:f>AZUL!$F$25:$F$29</c:f>
              <c:numCache>
                <c:formatCode>General</c:formatCode>
                <c:ptCount val="5"/>
                <c:pt idx="0">
                  <c:v>0.19257676911139435</c:v>
                </c:pt>
                <c:pt idx="1">
                  <c:v>0.28476998225278949</c:v>
                </c:pt>
                <c:pt idx="2">
                  <c:v>0.35483895989475694</c:v>
                </c:pt>
                <c:pt idx="3">
                  <c:v>0.39302650517777055</c:v>
                </c:pt>
                <c:pt idx="4">
                  <c:v>0.40253240090071218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005-49B3-9846-A52793946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5123935"/>
        <c:axId val="2135118655"/>
      </c:scatterChart>
      <c:valAx>
        <c:axId val="2135123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135118655"/>
        <c:crosses val="autoZero"/>
        <c:crossBetween val="midCat"/>
      </c:valAx>
      <c:valAx>
        <c:axId val="2135118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1351239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AZUL!$I$25:$I$29</c:f>
              <c:numCache>
                <c:formatCode>General</c:formatCode>
                <c:ptCount val="5"/>
                <c:pt idx="0">
                  <c:v>0.1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xVal>
          <c:yVal>
            <c:numRef>
              <c:f>AZUL!$J$25:$J$29</c:f>
              <c:numCache>
                <c:formatCode>General</c:formatCode>
                <c:ptCount val="5"/>
                <c:pt idx="0">
                  <c:v>1105</c:v>
                </c:pt>
                <c:pt idx="1">
                  <c:v>1325</c:v>
                </c:pt>
                <c:pt idx="2">
                  <c:v>1555</c:v>
                </c:pt>
                <c:pt idx="3">
                  <c:v>1785</c:v>
                </c:pt>
                <c:pt idx="4">
                  <c:v>1940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AA1-484F-9805-07BBA52FD0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9748735"/>
        <c:axId val="669738175"/>
      </c:scatterChart>
      <c:valAx>
        <c:axId val="669748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669738175"/>
        <c:crosses val="autoZero"/>
        <c:crossBetween val="midCat"/>
      </c:valAx>
      <c:valAx>
        <c:axId val="66973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669748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AZUL!$Q$25:$Q$29</c:f>
              <c:numCache>
                <c:formatCode>General</c:formatCode>
                <c:ptCount val="5"/>
                <c:pt idx="0">
                  <c:v>0.1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xVal>
          <c:yVal>
            <c:numRef>
              <c:f>AZUL!$R$25:$R$29</c:f>
              <c:numCache>
                <c:formatCode>General</c:formatCode>
                <c:ptCount val="5"/>
                <c:pt idx="0">
                  <c:v>966</c:v>
                </c:pt>
                <c:pt idx="1">
                  <c:v>1055</c:v>
                </c:pt>
                <c:pt idx="2">
                  <c:v>1116</c:v>
                </c:pt>
                <c:pt idx="3">
                  <c:v>1158</c:v>
                </c:pt>
                <c:pt idx="4">
                  <c:v>1175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7F8-49DA-9008-3FCF61A002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9745855"/>
        <c:axId val="669750655"/>
      </c:scatterChart>
      <c:valAx>
        <c:axId val="669745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669750655"/>
        <c:crosses val="autoZero"/>
        <c:crossBetween val="midCat"/>
      </c:valAx>
      <c:valAx>
        <c:axId val="66975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669745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AZUL!$B$48:$B$52</c:f>
              <c:numCache>
                <c:formatCode>General</c:formatCode>
                <c:ptCount val="5"/>
                <c:pt idx="0">
                  <c:v>0.1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xVal>
          <c:yVal>
            <c:numRef>
              <c:f>AZUL!$C$48:$C$52</c:f>
              <c:numCache>
                <c:formatCode>General</c:formatCode>
                <c:ptCount val="5"/>
                <c:pt idx="0">
                  <c:v>1695</c:v>
                </c:pt>
                <c:pt idx="1">
                  <c:v>2087</c:v>
                </c:pt>
                <c:pt idx="2">
                  <c:v>2328</c:v>
                </c:pt>
                <c:pt idx="3">
                  <c:v>2520</c:v>
                </c:pt>
                <c:pt idx="4">
                  <c:v>2556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87D-4974-AEC9-A9EA272177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2404687"/>
        <c:axId val="662406127"/>
      </c:scatterChart>
      <c:valAx>
        <c:axId val="662404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662406127"/>
        <c:crosses val="autoZero"/>
        <c:crossBetween val="midCat"/>
      </c:valAx>
      <c:valAx>
        <c:axId val="662406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662404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AZUL!$I$48:$I$52</c:f>
              <c:numCache>
                <c:formatCode>General</c:formatCode>
                <c:ptCount val="5"/>
                <c:pt idx="0">
                  <c:v>0.1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xVal>
          <c:yVal>
            <c:numRef>
              <c:f>AZUL!$J$48:$J$52</c:f>
              <c:numCache>
                <c:formatCode>General</c:formatCode>
                <c:ptCount val="5"/>
                <c:pt idx="0">
                  <c:v>1666</c:v>
                </c:pt>
                <c:pt idx="1">
                  <c:v>1967</c:v>
                </c:pt>
                <c:pt idx="2">
                  <c:v>2190</c:v>
                </c:pt>
                <c:pt idx="3">
                  <c:v>2396</c:v>
                </c:pt>
                <c:pt idx="4">
                  <c:v>2460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AB8-4B5C-92FD-567782768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2401807"/>
        <c:axId val="662396047"/>
      </c:scatterChart>
      <c:valAx>
        <c:axId val="662401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662396047"/>
        <c:crosses val="autoZero"/>
        <c:crossBetween val="midCat"/>
      </c:valAx>
      <c:valAx>
        <c:axId val="66239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662401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AZUL!$P$48:$P$52</c:f>
              <c:numCache>
                <c:formatCode>General</c:formatCode>
                <c:ptCount val="5"/>
                <c:pt idx="0">
                  <c:v>0.1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xVal>
          <c:yVal>
            <c:numRef>
              <c:f>AZUL!$Q$48:$Q$52</c:f>
              <c:numCache>
                <c:formatCode>General</c:formatCode>
                <c:ptCount val="5"/>
                <c:pt idx="0">
                  <c:v>1546</c:v>
                </c:pt>
                <c:pt idx="1">
                  <c:v>1767</c:v>
                </c:pt>
                <c:pt idx="2">
                  <c:v>1913</c:v>
                </c:pt>
                <c:pt idx="3">
                  <c:v>2020</c:v>
                </c:pt>
                <c:pt idx="4">
                  <c:v>2045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460-4FD0-8DDF-7DF9FAEB1F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2400367"/>
        <c:axId val="662386927"/>
      </c:scatterChart>
      <c:valAx>
        <c:axId val="662400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662386927"/>
        <c:crosses val="autoZero"/>
        <c:crossBetween val="midCat"/>
      </c:valAx>
      <c:valAx>
        <c:axId val="662386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6624003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266700</xdr:colOff>
      <xdr:row>8</xdr:row>
      <xdr:rowOff>3810</xdr:rowOff>
    </xdr:from>
    <xdr:to>
      <xdr:col>6</xdr:col>
      <xdr:colOff>83820</xdr:colOff>
      <xdr:row>23</xdr:row>
      <xdr:rowOff>3810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D62CE84-0FBB-DFDA-F588-B6E78B9CBD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441960</xdr:colOff>
      <xdr:row>8</xdr:row>
      <xdr:rowOff>19050</xdr:rowOff>
    </xdr:from>
    <xdr:to>
      <xdr:col>13</xdr:col>
      <xdr:colOff>259080</xdr:colOff>
      <xdr:row>23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398F774-DED4-2935-8F2A-DA81C56608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350520</xdr:colOff>
      <xdr:row>7</xdr:row>
      <xdr:rowOff>11430</xdr:rowOff>
    </xdr:from>
    <xdr:to>
      <xdr:col>20</xdr:col>
      <xdr:colOff>167640</xdr:colOff>
      <xdr:row>22</xdr:row>
      <xdr:rowOff>11430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49B0A7D-FDF2-DE3C-0235-196D9B9BFD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609600</xdr:colOff>
      <xdr:row>31</xdr:row>
      <xdr:rowOff>118110</xdr:rowOff>
    </xdr:from>
    <xdr:to>
      <xdr:col>13</xdr:col>
      <xdr:colOff>426720</xdr:colOff>
      <xdr:row>46</xdr:row>
      <xdr:rowOff>118110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D629F59-CDE9-C39F-1212-317E7213E9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198120</xdr:colOff>
      <xdr:row>31</xdr:row>
      <xdr:rowOff>102870</xdr:rowOff>
    </xdr:from>
    <xdr:to>
      <xdr:col>20</xdr:col>
      <xdr:colOff>15240</xdr:colOff>
      <xdr:row>46</xdr:row>
      <xdr:rowOff>102870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57E4245-AF24-8B7C-C1F0-6E118EE921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236220</xdr:colOff>
      <xdr:row>33</xdr:row>
      <xdr:rowOff>3810</xdr:rowOff>
    </xdr:from>
    <xdr:to>
      <xdr:col>27</xdr:col>
      <xdr:colOff>53340</xdr:colOff>
      <xdr:row>48</xdr:row>
      <xdr:rowOff>3810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28C5B908-6777-EE31-0E5B-A7E2A37869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205740</xdr:colOff>
      <xdr:row>6</xdr:row>
      <xdr:rowOff>87630</xdr:rowOff>
    </xdr:from>
    <xdr:to>
      <xdr:col>6</xdr:col>
      <xdr:colOff>22860</xdr:colOff>
      <xdr:row>21</xdr:row>
      <xdr:rowOff>87630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3BDE7E8-633E-1A97-1E50-6C18631097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342900</xdr:colOff>
      <xdr:row>7</xdr:row>
      <xdr:rowOff>34290</xdr:rowOff>
    </xdr:from>
    <xdr:to>
      <xdr:col>14</xdr:col>
      <xdr:colOff>160020</xdr:colOff>
      <xdr:row>22</xdr:row>
      <xdr:rowOff>34290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3DF0303-D6D1-118F-96B0-2371A5E3F0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342900</xdr:colOff>
      <xdr:row>7</xdr:row>
      <xdr:rowOff>41910</xdr:rowOff>
    </xdr:from>
    <xdr:to>
      <xdr:col>20</xdr:col>
      <xdr:colOff>160020</xdr:colOff>
      <xdr:row>22</xdr:row>
      <xdr:rowOff>41910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9EBE603-BC02-7CC3-25FD-2A57919D19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266700</xdr:colOff>
      <xdr:row>29</xdr:row>
      <xdr:rowOff>72390</xdr:rowOff>
    </xdr:from>
    <xdr:to>
      <xdr:col>6</xdr:col>
      <xdr:colOff>83820</xdr:colOff>
      <xdr:row>44</xdr:row>
      <xdr:rowOff>72390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8BC08B6-E9AC-43DC-0C21-FC0537046A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396240</xdr:colOff>
      <xdr:row>6</xdr:row>
      <xdr:rowOff>125730</xdr:rowOff>
    </xdr:from>
    <xdr:to>
      <xdr:col>6</xdr:col>
      <xdr:colOff>213360</xdr:colOff>
      <xdr:row>21</xdr:row>
      <xdr:rowOff>125730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AC680A0-C1FA-2FC6-5A33-C1D07DA278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434340</xdr:colOff>
      <xdr:row>7</xdr:row>
      <xdr:rowOff>34290</xdr:rowOff>
    </xdr:from>
    <xdr:to>
      <xdr:col>13</xdr:col>
      <xdr:colOff>251460</xdr:colOff>
      <xdr:row>22</xdr:row>
      <xdr:rowOff>34290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854E526-CB9D-B1C9-D60F-EF43F77BEF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342900</xdr:colOff>
      <xdr:row>7</xdr:row>
      <xdr:rowOff>34290</xdr:rowOff>
    </xdr:from>
    <xdr:to>
      <xdr:col>21</xdr:col>
      <xdr:colOff>160020</xdr:colOff>
      <xdr:row>22</xdr:row>
      <xdr:rowOff>34290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70C06D0-BAF8-0981-81E6-3295A72DF8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342900</xdr:colOff>
      <xdr:row>29</xdr:row>
      <xdr:rowOff>140970</xdr:rowOff>
    </xdr:from>
    <xdr:to>
      <xdr:col>6</xdr:col>
      <xdr:colOff>160020</xdr:colOff>
      <xdr:row>44</xdr:row>
      <xdr:rowOff>140970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8814DC6-CECA-AEB6-D5CE-14DEA5CB5D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419100</xdr:colOff>
      <xdr:row>29</xdr:row>
      <xdr:rowOff>148590</xdr:rowOff>
    </xdr:from>
    <xdr:to>
      <xdr:col>13</xdr:col>
      <xdr:colOff>236220</xdr:colOff>
      <xdr:row>44</xdr:row>
      <xdr:rowOff>148590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225C4939-B8B5-BCBC-5188-AAF378B347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335280</xdr:colOff>
      <xdr:row>30</xdr:row>
      <xdr:rowOff>179070</xdr:rowOff>
    </xdr:from>
    <xdr:to>
      <xdr:col>21</xdr:col>
      <xdr:colOff>152400</xdr:colOff>
      <xdr:row>45</xdr:row>
      <xdr:rowOff>179070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ED28E90C-9EF7-156B-A51A-A1DEBDA9A9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502920</xdr:colOff>
      <xdr:row>54</xdr:row>
      <xdr:rowOff>49530</xdr:rowOff>
    </xdr:from>
    <xdr:to>
      <xdr:col>6</xdr:col>
      <xdr:colOff>320040</xdr:colOff>
      <xdr:row>69</xdr:row>
      <xdr:rowOff>49530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F222D255-E0B6-03AA-67AA-4CF39BA15C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91440</xdr:colOff>
      <xdr:row>53</xdr:row>
      <xdr:rowOff>41910</xdr:rowOff>
    </xdr:from>
    <xdr:to>
      <xdr:col>12</xdr:col>
      <xdr:colOff>701040</xdr:colOff>
      <xdr:row>68</xdr:row>
      <xdr:rowOff>41910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B90BA366-C0BF-353A-4D2A-220A3E40DF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708660</xdr:colOff>
      <xdr:row>53</xdr:row>
      <xdr:rowOff>125730</xdr:rowOff>
    </xdr:from>
    <xdr:to>
      <xdr:col>19</xdr:col>
      <xdr:colOff>525780</xdr:colOff>
      <xdr:row>68</xdr:row>
      <xdr:rowOff>125730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670A5C9F-4977-915E-F5AD-59D7F9F795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96F1F-02AE-4B74-A484-41B2C5A9A0C4}">
  <dimension ref="A1:AA31"/>
  <sheetViews>
    <sheetView workbookViewId="0">
      <selection activeCell="X31" sqref="W27:X31"/>
    </sheetView>
  </sheetViews>
  <sheetFormatPr baseColWidth="10" defaultRowHeight="14.4" x14ac:dyDescent="0.3"/>
  <sheetData>
    <row r="1" spans="1:20" x14ac:dyDescent="0.3">
      <c r="A1" s="1" t="s">
        <v>5</v>
      </c>
      <c r="B1" s="1"/>
      <c r="C1" s="1"/>
      <c r="D1" s="1"/>
      <c r="E1" s="1"/>
      <c r="F1" s="1"/>
      <c r="H1" s="1" t="s">
        <v>7</v>
      </c>
      <c r="I1" s="1"/>
      <c r="J1" s="1"/>
      <c r="K1" s="1"/>
      <c r="L1" s="1"/>
      <c r="M1" s="1"/>
      <c r="O1" s="1" t="s">
        <v>6</v>
      </c>
      <c r="P1" s="1"/>
      <c r="Q1" s="1"/>
      <c r="R1" s="1"/>
      <c r="S1" s="1"/>
      <c r="T1" s="1"/>
    </row>
    <row r="2" spans="1:20" x14ac:dyDescent="0.3">
      <c r="A2">
        <f>5*10^-3</f>
        <v>5.0000000000000001E-3</v>
      </c>
      <c r="B2">
        <v>0.1</v>
      </c>
      <c r="C2">
        <v>187</v>
      </c>
      <c r="D2">
        <f>(11865*C2*10^-3)/(4.95-$B$1-C2*10^-3)</f>
        <v>465.83140877598157</v>
      </c>
      <c r="E2">
        <f>4.95/(11865+D2)</f>
        <v>4.0143278550358201E-4</v>
      </c>
      <c r="F2">
        <f>LOG10(A2/E2)</f>
        <v>1.095357165377786</v>
      </c>
      <c r="H2">
        <f>5.01*10^-3</f>
        <v>5.0099999999999997E-3</v>
      </c>
      <c r="I2">
        <v>0.1</v>
      </c>
      <c r="J2">
        <v>355</v>
      </c>
      <c r="K2">
        <f>(11865*J2*10^-3)/(4.95-$B$1-J2*10^-3)</f>
        <v>916.66485310119674</v>
      </c>
      <c r="L2">
        <f>4.95/(11865+K2)</f>
        <v>3.8727349346818379E-4</v>
      </c>
      <c r="M2">
        <f>LOG10(H2/L2)</f>
        <v>1.1118199526984733</v>
      </c>
      <c r="O2">
        <f>5*10^-3</f>
        <v>5.0000000000000001E-3</v>
      </c>
      <c r="P2">
        <v>0.1</v>
      </c>
      <c r="Q2">
        <v>433</v>
      </c>
      <c r="R2">
        <f>(11865*Q2*10^-3)/(4.95-$B$1-Q2*10^-3)</f>
        <v>1137.3798981624971</v>
      </c>
      <c r="S2">
        <f>4.95/(11865+R2)</f>
        <v>3.8069953645174888E-4</v>
      </c>
      <c r="T2">
        <f>LOG10(O2/S2)</f>
        <v>1.1183876563279824</v>
      </c>
    </row>
    <row r="3" spans="1:20" x14ac:dyDescent="0.3">
      <c r="A3">
        <f t="shared" ref="A3:A6" si="0">5*10^-3</f>
        <v>5.0000000000000001E-3</v>
      </c>
      <c r="B3">
        <v>0.25</v>
      </c>
      <c r="C3">
        <v>188</v>
      </c>
      <c r="D3">
        <f>(11865*C3*10^-3)/(4.95-$B$1-C3*10^-3)</f>
        <v>468.42083158336828</v>
      </c>
      <c r="E3">
        <f t="shared" ref="E3:E6" si="1">4.95/(11865+D3)</f>
        <v>4.0134850400337131E-4</v>
      </c>
      <c r="F3">
        <f t="shared" ref="F3:F6" si="2">LOG10(A3/E3)</f>
        <v>1.0954483558205155</v>
      </c>
      <c r="H3">
        <f t="shared" ref="H3:H5" si="3">5.01*10^-3</f>
        <v>5.0099999999999997E-3</v>
      </c>
      <c r="I3">
        <v>0.25</v>
      </c>
      <c r="J3">
        <v>367</v>
      </c>
      <c r="K3">
        <f>(11865*J3*10^-3)/(4.95-$B$1-J3*10^-3)</f>
        <v>950.13200960069821</v>
      </c>
      <c r="L3">
        <f t="shared" ref="L3:L6" si="4">4.95/(11865+K3)</f>
        <v>3.8626211546565528E-4</v>
      </c>
      <c r="M3">
        <f t="shared" ref="M3:M6" si="5">LOG10(H3/L3)</f>
        <v>1.112955611175817</v>
      </c>
      <c r="O3">
        <f t="shared" ref="O3:O6" si="6">5*10^-3</f>
        <v>5.0000000000000001E-3</v>
      </c>
      <c r="P3">
        <v>0.25</v>
      </c>
      <c r="Q3">
        <v>668</v>
      </c>
      <c r="R3">
        <f>(11865*Q3*10^-3)/(4.95-$B$1-Q3*10^-3)</f>
        <v>1850.9621672115834</v>
      </c>
      <c r="S3">
        <f t="shared" ref="S3:S6" si="7">4.95/(11865+R3)</f>
        <v>3.608933839022335E-4</v>
      </c>
      <c r="T3">
        <f t="shared" ref="T3:T6" si="8">LOG10(O3/S3)</f>
        <v>1.1415910839309571</v>
      </c>
    </row>
    <row r="4" spans="1:20" x14ac:dyDescent="0.3">
      <c r="A4">
        <f t="shared" si="0"/>
        <v>5.0000000000000001E-3</v>
      </c>
      <c r="B4">
        <v>0.5</v>
      </c>
      <c r="C4">
        <v>187</v>
      </c>
      <c r="D4">
        <f>(11865*C4*10^-3)/(4.95-$B$1-C4*10^-3)</f>
        <v>465.83140877598157</v>
      </c>
      <c r="E4">
        <f t="shared" si="1"/>
        <v>4.0143278550358201E-4</v>
      </c>
      <c r="F4">
        <f t="shared" si="2"/>
        <v>1.095357165377786</v>
      </c>
      <c r="H4">
        <f t="shared" si="3"/>
        <v>5.0099999999999997E-3</v>
      </c>
      <c r="I4">
        <v>0.5</v>
      </c>
      <c r="J4">
        <v>359</v>
      </c>
      <c r="K4">
        <f>(11865*J4*10^-3)/(4.95-$B$1-J4*10^-3)</f>
        <v>927.80113265083855</v>
      </c>
      <c r="L4">
        <f t="shared" si="4"/>
        <v>3.8693636746734095E-4</v>
      </c>
      <c r="M4">
        <f t="shared" si="5"/>
        <v>1.1121981756545827</v>
      </c>
      <c r="O4">
        <f t="shared" si="6"/>
        <v>5.0000000000000001E-3</v>
      </c>
      <c r="P4">
        <v>0.5</v>
      </c>
      <c r="Q4">
        <v>756</v>
      </c>
      <c r="R4">
        <f>(11865*Q4*10^-3)/(4.95-$B$1-Q4*10^-3)</f>
        <v>2138.755364806867</v>
      </c>
      <c r="S4">
        <f t="shared" si="7"/>
        <v>3.5347661188369153E-4</v>
      </c>
      <c r="T4">
        <f t="shared" si="8"/>
        <v>1.1506093207600516</v>
      </c>
    </row>
    <row r="5" spans="1:20" x14ac:dyDescent="0.3">
      <c r="A5">
        <f t="shared" si="0"/>
        <v>5.0000000000000001E-3</v>
      </c>
      <c r="B5">
        <v>0.75</v>
      </c>
      <c r="C5">
        <v>189</v>
      </c>
      <c r="D5">
        <f>(11865*C5*10^-3)/(4.95-$B$1-C5*10^-3)</f>
        <v>471.01134215500946</v>
      </c>
      <c r="E5">
        <f t="shared" si="1"/>
        <v>4.0126422250316062E-4</v>
      </c>
      <c r="F5">
        <f t="shared" si="2"/>
        <v>1.0955395654148659</v>
      </c>
      <c r="H5">
        <f t="shared" si="3"/>
        <v>5.0099999999999997E-3</v>
      </c>
      <c r="I5">
        <v>0.75</v>
      </c>
      <c r="J5">
        <v>366</v>
      </c>
      <c r="K5">
        <f>(11865*J5*10^-3)/(4.95-$B$1-J5*10^-3)</f>
        <v>947.33638743455492</v>
      </c>
      <c r="L5">
        <f t="shared" si="4"/>
        <v>3.8634639696586603E-4</v>
      </c>
      <c r="M5">
        <f t="shared" si="5"/>
        <v>1.1128608594612699</v>
      </c>
      <c r="O5">
        <f t="shared" si="6"/>
        <v>5.0000000000000001E-3</v>
      </c>
      <c r="P5">
        <v>0.75</v>
      </c>
      <c r="Q5">
        <v>905</v>
      </c>
      <c r="R5">
        <f>(11865*Q5*10^-3)/(4.95-$B$1-Q5*10^-3)</f>
        <v>2654.5920889987642</v>
      </c>
      <c r="S5">
        <f t="shared" si="7"/>
        <v>3.4091866835229669E-4</v>
      </c>
      <c r="T5">
        <f t="shared" si="8"/>
        <v>1.1663192209410855</v>
      </c>
    </row>
    <row r="6" spans="1:20" x14ac:dyDescent="0.3">
      <c r="A6">
        <f t="shared" si="0"/>
        <v>5.0000000000000001E-3</v>
      </c>
      <c r="B6">
        <v>1</v>
      </c>
      <c r="C6">
        <v>192</v>
      </c>
      <c r="D6">
        <f>(11865*C6*10^-3)/(4.95-$B$1-C6*10^-3)</f>
        <v>478.78940731399746</v>
      </c>
      <c r="E6">
        <f t="shared" si="1"/>
        <v>4.0101137800252848E-4</v>
      </c>
      <c r="F6">
        <f t="shared" si="2"/>
        <v>1.095813309188129</v>
      </c>
      <c r="H6">
        <f>5.01*10^-3</f>
        <v>5.0099999999999997E-3</v>
      </c>
      <c r="I6">
        <v>1</v>
      </c>
      <c r="J6">
        <v>376</v>
      </c>
      <c r="K6">
        <f>(11865*J6*10^-3)/(4.95-$B$1-J6*10^-3)</f>
        <v>975.34761696545695</v>
      </c>
      <c r="L6">
        <f t="shared" si="4"/>
        <v>3.8550358196375896E-4</v>
      </c>
      <c r="M6">
        <f t="shared" si="5"/>
        <v>1.1138093081498739</v>
      </c>
      <c r="O6">
        <f t="shared" si="6"/>
        <v>5.0000000000000001E-3</v>
      </c>
      <c r="P6">
        <v>1</v>
      </c>
      <c r="Q6">
        <v>926</v>
      </c>
      <c r="R6">
        <f>(11865*Q6*10^-3)/(4.95-$B$1-Q6*10^-3)</f>
        <v>2730.3653081510934</v>
      </c>
      <c r="S6">
        <f t="shared" si="7"/>
        <v>3.3914875684787192E-4</v>
      </c>
      <c r="T6">
        <f t="shared" si="8"/>
        <v>1.1685797748415057</v>
      </c>
    </row>
    <row r="27" spans="8:27" x14ac:dyDescent="0.3">
      <c r="H27">
        <f>0.51*10^-3</f>
        <v>5.1000000000000004E-4</v>
      </c>
      <c r="I27">
        <v>0.1</v>
      </c>
      <c r="J27">
        <v>595</v>
      </c>
      <c r="K27">
        <f>(11865*J27*10^-3)/(4.95-$B$1-J27*10^-3)</f>
        <v>1621.0505166475314</v>
      </c>
      <c r="L27">
        <f>4.95/(11865+K27)</f>
        <v>3.6704593341761488E-4</v>
      </c>
      <c r="M27">
        <f>LOG10(H27/L27)</f>
        <v>0.14284975930761215</v>
      </c>
      <c r="O27">
        <f>0.51*10^-3</f>
        <v>5.1000000000000004E-4</v>
      </c>
      <c r="P27">
        <v>0.1</v>
      </c>
      <c r="Q27">
        <v>828</v>
      </c>
      <c r="R27">
        <f>(11865*Q27*10^-3)/(4.95-$B$1-Q27*10^-3)</f>
        <v>2383.3624454148471</v>
      </c>
      <c r="S27">
        <f>4.95/(11865+R27)</f>
        <v>3.474083438685209E-4</v>
      </c>
      <c r="T27">
        <f>LOG10(O27/S27)</f>
        <v>0.16672993120810009</v>
      </c>
      <c r="V27">
        <f>0.51*10^-3</f>
        <v>5.1000000000000004E-4</v>
      </c>
      <c r="W27">
        <v>0.1</v>
      </c>
      <c r="X27">
        <v>886</v>
      </c>
      <c r="Y27">
        <f>(11865*X27*10^-3)/(4.95-$B$1-X27*10^-3)</f>
        <v>2586.7101377952754</v>
      </c>
      <c r="Z27">
        <f>4.95/(11865+Y27)</f>
        <v>3.4252001685630007E-4</v>
      </c>
      <c r="AA27">
        <f>LOG10(V27/Z27)</f>
        <v>0.17288421937543133</v>
      </c>
    </row>
    <row r="28" spans="8:27" x14ac:dyDescent="0.3">
      <c r="H28">
        <f t="shared" ref="H28:H31" si="9">0.51*10^-3</f>
        <v>5.1000000000000004E-4</v>
      </c>
      <c r="I28">
        <v>0.25</v>
      </c>
      <c r="J28">
        <v>635</v>
      </c>
      <c r="K28">
        <f>(11865*J28*10^-3)/(4.95-$B$1-J28*10^-3)</f>
        <v>1746.0660486674392</v>
      </c>
      <c r="L28">
        <f t="shared" ref="L28:L31" si="10">4.95/(11865+K28)</f>
        <v>3.6367467340918673E-4</v>
      </c>
      <c r="M28">
        <f t="shared" ref="M28:M31" si="11">LOG10(H28/L28)</f>
        <v>0.14685711860006578</v>
      </c>
      <c r="O28">
        <f t="shared" ref="O28:O31" si="12">0.51*10^-3</f>
        <v>5.1000000000000004E-4</v>
      </c>
      <c r="P28">
        <v>0.25</v>
      </c>
      <c r="Q28">
        <v>918</v>
      </c>
      <c r="R28">
        <f>(11865*Q28*10^-3)/(4.95-$B$1-Q28*10^-3)</f>
        <v>2701.40625</v>
      </c>
      <c r="S28">
        <f t="shared" ref="S28:S31" si="13">4.95/(11865+R28)</f>
        <v>3.3982300884955754E-4</v>
      </c>
      <c r="T28">
        <f t="shared" ref="T28:T31" si="14">LOG10(O28/S28)</f>
        <v>0.17631739521382528</v>
      </c>
      <c r="V28">
        <f t="shared" ref="V28:V31" si="15">0.51*10^-3</f>
        <v>5.1000000000000004E-4</v>
      </c>
      <c r="W28">
        <v>0.25</v>
      </c>
      <c r="X28">
        <v>1259</v>
      </c>
      <c r="Y28">
        <f>(11865*X28*10^-3)/(4.95-$B$1-X28*10^-3)</f>
        <v>4047.1511785424004</v>
      </c>
      <c r="Z28">
        <f t="shared" ref="Z28:Z31" si="16">4.95/(11865+Y28)</f>
        <v>3.1108301727770756E-4</v>
      </c>
      <c r="AA28">
        <f t="shared" ref="AA28:AA31" si="17">LOG10(V28/Z28)</f>
        <v>0.21469387345563701</v>
      </c>
    </row>
    <row r="29" spans="8:27" x14ac:dyDescent="0.3">
      <c r="H29">
        <f t="shared" si="9"/>
        <v>5.1000000000000004E-4</v>
      </c>
      <c r="I29">
        <v>0.5</v>
      </c>
      <c r="J29">
        <v>587</v>
      </c>
      <c r="K29">
        <f>(11865*J29*10^-3)/(4.95-$B$1-J29*10^-3)</f>
        <v>1596.3224845289938</v>
      </c>
      <c r="L29">
        <f t="shared" si="10"/>
        <v>3.677201854193005E-4</v>
      </c>
      <c r="M29">
        <f t="shared" si="11"/>
        <v>0.14205270566447403</v>
      </c>
      <c r="O29">
        <f t="shared" si="12"/>
        <v>5.1000000000000004E-4</v>
      </c>
      <c r="P29">
        <v>0.5</v>
      </c>
      <c r="Q29">
        <v>805</v>
      </c>
      <c r="R29">
        <f>(11865*Q29*10^-3)/(4.95-$B$1-Q29*10^-3)</f>
        <v>2304.3003618817852</v>
      </c>
      <c r="S29">
        <f t="shared" si="13"/>
        <v>3.4934681837336706E-4</v>
      </c>
      <c r="T29">
        <f t="shared" si="14"/>
        <v>0.16431338376500179</v>
      </c>
      <c r="V29">
        <f t="shared" si="15"/>
        <v>5.1000000000000004E-4</v>
      </c>
      <c r="W29">
        <v>0.5</v>
      </c>
      <c r="X29">
        <v>1042</v>
      </c>
      <c r="Y29">
        <f>(11865*X29*10^-3)/(4.95-$B$1-X29*10^-3)</f>
        <v>3163.5951893551687</v>
      </c>
      <c r="Z29">
        <f t="shared" si="16"/>
        <v>3.293721028234303E-4</v>
      </c>
      <c r="AA29">
        <f t="shared" si="17"/>
        <v>0.18988336360455865</v>
      </c>
    </row>
    <row r="30" spans="8:27" x14ac:dyDescent="0.3">
      <c r="H30">
        <f t="shared" si="9"/>
        <v>5.1000000000000004E-4</v>
      </c>
      <c r="I30">
        <v>0.75</v>
      </c>
      <c r="J30">
        <v>622</v>
      </c>
      <c r="K30">
        <f>(11865*J30*10^-3)/(4.95-$B$1-J30*10^-3)</f>
        <v>1705.1825323475045</v>
      </c>
      <c r="L30">
        <f t="shared" si="10"/>
        <v>3.6477033291192588E-4</v>
      </c>
      <c r="M30">
        <f t="shared" si="11"/>
        <v>0.14555066655278112</v>
      </c>
      <c r="O30">
        <f t="shared" si="12"/>
        <v>5.1000000000000004E-4</v>
      </c>
      <c r="P30">
        <v>0.75</v>
      </c>
      <c r="Q30">
        <v>869</v>
      </c>
      <c r="R30">
        <f>(11865*Q30*10^-3)/(4.95-$B$1-Q30*10^-3)</f>
        <v>2526.5094339622638</v>
      </c>
      <c r="S30">
        <f t="shared" si="13"/>
        <v>3.4395280235988206E-4</v>
      </c>
      <c r="T30">
        <f t="shared" si="14"/>
        <v>0.17107132387802323</v>
      </c>
      <c r="V30">
        <f t="shared" si="15"/>
        <v>5.1000000000000004E-4</v>
      </c>
      <c r="W30">
        <v>0.75</v>
      </c>
      <c r="X30">
        <v>1210</v>
      </c>
      <c r="Y30">
        <f>(11865*X30*10^-3)/(4.95-$B$1-X30*10^-3)</f>
        <v>3838.6764705882351</v>
      </c>
      <c r="Z30">
        <f t="shared" si="16"/>
        <v>3.1521281078803208E-4</v>
      </c>
      <c r="AA30">
        <f t="shared" si="17"/>
        <v>0.20896631645081393</v>
      </c>
    </row>
    <row r="31" spans="8:27" x14ac:dyDescent="0.3">
      <c r="H31">
        <f t="shared" si="9"/>
        <v>5.1000000000000004E-4</v>
      </c>
      <c r="I31">
        <v>1</v>
      </c>
      <c r="J31">
        <v>615</v>
      </c>
      <c r="K31">
        <f>(11865*J31*10^-3)/(4.95-$B$1-J31*10^-3)</f>
        <v>1683.2698961937717</v>
      </c>
      <c r="L31">
        <f t="shared" si="10"/>
        <v>3.6536030341340081E-4</v>
      </c>
      <c r="M31">
        <f t="shared" si="11"/>
        <v>0.14484881683906503</v>
      </c>
      <c r="O31">
        <f t="shared" si="12"/>
        <v>5.1000000000000004E-4</v>
      </c>
      <c r="P31">
        <v>1</v>
      </c>
      <c r="Q31">
        <v>852</v>
      </c>
      <c r="R31">
        <f>(11865*Q31*10^-3)/(4.95-$B$1-Q31*10^-3)</f>
        <v>2466.8081991215226</v>
      </c>
      <c r="S31">
        <f t="shared" si="13"/>
        <v>3.4538558786346399E-4</v>
      </c>
      <c r="T31">
        <f t="shared" si="14"/>
        <v>0.16926596458611798</v>
      </c>
      <c r="V31">
        <f t="shared" si="15"/>
        <v>5.1000000000000004E-4</v>
      </c>
      <c r="W31">
        <v>1</v>
      </c>
      <c r="X31">
        <v>1144</v>
      </c>
      <c r="Y31">
        <f>(11865*X31*10^-3)/(4.95-$B$1-X31*10^-3)</f>
        <v>3566.3583815028901</v>
      </c>
      <c r="Z31">
        <f t="shared" si="16"/>
        <v>3.2077538980193848E-4</v>
      </c>
      <c r="AA31">
        <f t="shared" si="17"/>
        <v>0.20136913470029255</v>
      </c>
    </row>
  </sheetData>
  <mergeCells count="3">
    <mergeCell ref="A1:F1"/>
    <mergeCell ref="H1:M1"/>
    <mergeCell ref="O1:T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27004-8EAE-4FCF-9B3A-C6A347D0C021}">
  <dimension ref="A1:T28"/>
  <sheetViews>
    <sheetView workbookViewId="0">
      <selection activeCell="C5" sqref="C5"/>
    </sheetView>
  </sheetViews>
  <sheetFormatPr baseColWidth="10" defaultRowHeight="14.4" x14ac:dyDescent="0.3"/>
  <sheetData>
    <row r="1" spans="1:20" x14ac:dyDescent="0.3">
      <c r="A1" s="1" t="s">
        <v>0</v>
      </c>
      <c r="B1" s="1"/>
      <c r="C1" s="1"/>
      <c r="D1" s="1"/>
      <c r="E1" s="1"/>
      <c r="F1" s="1"/>
      <c r="H1" s="1" t="s">
        <v>4</v>
      </c>
      <c r="I1" s="1"/>
      <c r="J1" s="1"/>
      <c r="K1" s="1"/>
      <c r="L1" s="1"/>
      <c r="M1" s="1"/>
      <c r="O1" s="1" t="s">
        <v>4</v>
      </c>
      <c r="P1" s="1"/>
      <c r="Q1" s="1"/>
      <c r="R1" s="1"/>
      <c r="S1" s="1"/>
      <c r="T1" s="1"/>
    </row>
    <row r="2" spans="1:20" x14ac:dyDescent="0.3">
      <c r="A2">
        <f>5*10^-3</f>
        <v>5.0000000000000001E-3</v>
      </c>
      <c r="B2">
        <v>0.1</v>
      </c>
      <c r="C2">
        <v>298</v>
      </c>
      <c r="D2">
        <f>(11865*C2*10^-3)/(4.95-$B$1-C2*10^-3)</f>
        <v>760.05374032674115</v>
      </c>
      <c r="E2">
        <f>4.95/(11865+D2)</f>
        <v>3.9207753898019387E-4</v>
      </c>
      <c r="F2">
        <f>LOG10(A2/E2)</f>
        <v>1.1055980408329658</v>
      </c>
      <c r="H2">
        <f>5*10^-3</f>
        <v>5.0000000000000001E-3</v>
      </c>
      <c r="I2">
        <v>0.1</v>
      </c>
      <c r="J2">
        <v>404</v>
      </c>
      <c r="K2">
        <f>(11865*J2*10^-3)/(5-$B$1-J2*10^-3)</f>
        <v>1042.9634464751957</v>
      </c>
      <c r="L2">
        <f>5/(11865+K2)</f>
        <v>3.8735777496839443E-4</v>
      </c>
      <c r="M2">
        <f>LOG10(H2/L2)</f>
        <v>1.110857726873129</v>
      </c>
      <c r="O2">
        <f>5*10^-3</f>
        <v>5.0000000000000001E-3</v>
      </c>
      <c r="P2">
        <v>0.1</v>
      </c>
      <c r="Q2">
        <v>413</v>
      </c>
      <c r="R2">
        <f>(11865*Q2*10^-3)/(4.95-$B$1-Q2*10^-3)</f>
        <v>1080.0628168393212</v>
      </c>
      <c r="S2">
        <f>4.95/(11865+R2)</f>
        <v>3.823851664559629E-4</v>
      </c>
      <c r="T2">
        <f>LOG10(O2/S2)</f>
        <v>1.1164689676233599</v>
      </c>
    </row>
    <row r="3" spans="1:20" x14ac:dyDescent="0.3">
      <c r="A3">
        <f t="shared" ref="A3:A6" si="0">5*10^-3</f>
        <v>5.0000000000000001E-3</v>
      </c>
      <c r="B3">
        <v>0.25</v>
      </c>
      <c r="C3">
        <v>504</v>
      </c>
      <c r="D3">
        <f>(11865*C3*10^-3)/(4.95-$B$1-C3*10^-3)</f>
        <v>1345.0202429149799</v>
      </c>
      <c r="E3">
        <f t="shared" ref="E3:E6" si="1">4.95/(11865+D3)</f>
        <v>3.7471554993678889E-4</v>
      </c>
      <c r="F3">
        <f t="shared" ref="F3:F6" si="2">LOG10(A3/E3)</f>
        <v>1.1252682885264047</v>
      </c>
      <c r="H3">
        <f t="shared" ref="H3:H6" si="3">5*10^-3</f>
        <v>5.0000000000000001E-3</v>
      </c>
      <c r="I3">
        <v>0.25</v>
      </c>
      <c r="J3">
        <v>460</v>
      </c>
      <c r="K3">
        <f t="shared" ref="K3:K6" si="4">(11865*J3*10^-3)/(5-$B$1-J3*10^-3)</f>
        <v>1202.1806167400882</v>
      </c>
      <c r="L3">
        <f t="shared" ref="L3:L6" si="5">5/(11865+K3)</f>
        <v>3.8263801095659504E-4</v>
      </c>
      <c r="M3">
        <f t="shared" ref="M3:M6" si="6">LOG10(H3/L3)</f>
        <v>1.1161818940322727</v>
      </c>
      <c r="O3">
        <f t="shared" ref="O3:O6" si="7">5*10^-3</f>
        <v>5.0000000000000001E-3</v>
      </c>
      <c r="P3">
        <v>0.25</v>
      </c>
      <c r="Q3">
        <v>523</v>
      </c>
      <c r="R3">
        <f>(11865*Q3*10^-3)/(4.95-$B$1-Q3*10^-3)</f>
        <v>1401.7156087644003</v>
      </c>
      <c r="S3">
        <f t="shared" ref="S3:S6" si="8">4.95/(11865+R3)</f>
        <v>3.7311420143278551E-4</v>
      </c>
      <c r="T3">
        <f t="shared" ref="T3:T6" si="9">LOG10(O3/S3)</f>
        <v>1.1271282249105288</v>
      </c>
    </row>
    <row r="4" spans="1:20" x14ac:dyDescent="0.3">
      <c r="A4">
        <f t="shared" si="0"/>
        <v>5.0000000000000001E-3</v>
      </c>
      <c r="B4">
        <v>0.5</v>
      </c>
      <c r="C4">
        <v>2700</v>
      </c>
      <c r="D4">
        <f>(11865*C4*10^-3)/(4.95-$B$1-C4*10^-3)</f>
        <v>14238</v>
      </c>
      <c r="E4">
        <f t="shared" si="1"/>
        <v>1.8963337547408344E-4</v>
      </c>
      <c r="F4">
        <f t="shared" si="2"/>
        <v>1.421055228778014</v>
      </c>
      <c r="H4">
        <f t="shared" si="3"/>
        <v>5.0000000000000001E-3</v>
      </c>
      <c r="I4">
        <v>0.5</v>
      </c>
      <c r="J4">
        <v>555</v>
      </c>
      <c r="K4">
        <f t="shared" si="4"/>
        <v>1481.4566929133857</v>
      </c>
      <c r="L4">
        <f t="shared" si="5"/>
        <v>3.7463126843657819E-4</v>
      </c>
      <c r="M4">
        <f t="shared" si="6"/>
        <v>1.125365981583144</v>
      </c>
      <c r="O4">
        <f t="shared" si="7"/>
        <v>5.0000000000000001E-3</v>
      </c>
      <c r="P4">
        <v>0.5</v>
      </c>
      <c r="Q4">
        <v>748</v>
      </c>
      <c r="R4">
        <f>(11865*Q4*10^-3)/(4.95-$B$1-Q4*10^-3)</f>
        <v>2112.0942408376964</v>
      </c>
      <c r="S4">
        <f t="shared" si="8"/>
        <v>3.541508638853772E-4</v>
      </c>
      <c r="T4">
        <f t="shared" si="9"/>
        <v>1.1497816988194427</v>
      </c>
    </row>
    <row r="5" spans="1:20" x14ac:dyDescent="0.3">
      <c r="A5">
        <f t="shared" si="0"/>
        <v>5.0000000000000001E-3</v>
      </c>
      <c r="B5">
        <v>0.75</v>
      </c>
      <c r="C5">
        <v>1772</v>
      </c>
      <c r="D5">
        <f>(11865*C5*10^-3)/(4.95-$B$1-C5*10^-3)</f>
        <v>6615.7268722466961</v>
      </c>
      <c r="E5">
        <f t="shared" si="1"/>
        <v>2.6784660766961653E-4</v>
      </c>
      <c r="F5">
        <f t="shared" si="2"/>
        <v>1.2710838540180158</v>
      </c>
      <c r="H5">
        <f t="shared" si="3"/>
        <v>5.0000000000000001E-3</v>
      </c>
      <c r="I5">
        <v>0.75</v>
      </c>
      <c r="J5">
        <v>636</v>
      </c>
      <c r="K5">
        <f t="shared" si="4"/>
        <v>1729.1796516956922</v>
      </c>
      <c r="L5">
        <f t="shared" si="5"/>
        <v>3.6780446691951114E-4</v>
      </c>
      <c r="M5">
        <f t="shared" si="6"/>
        <v>1.1333530049730725</v>
      </c>
      <c r="O5">
        <f t="shared" si="7"/>
        <v>5.0000000000000001E-3</v>
      </c>
      <c r="P5">
        <v>0.75</v>
      </c>
      <c r="Q5">
        <v>976</v>
      </c>
      <c r="R5">
        <f>(11865*Q5*10^-3)/(4.95-$B$1-Q5*10^-3)</f>
        <v>2914.0010065425263</v>
      </c>
      <c r="S5">
        <f t="shared" si="8"/>
        <v>3.349346818373367E-4</v>
      </c>
      <c r="T5">
        <f t="shared" si="9"/>
        <v>1.1740098841155804</v>
      </c>
    </row>
    <row r="6" spans="1:20" x14ac:dyDescent="0.3">
      <c r="A6">
        <f t="shared" si="0"/>
        <v>5.0000000000000001E-3</v>
      </c>
      <c r="B6">
        <v>1</v>
      </c>
      <c r="C6">
        <v>2175</v>
      </c>
      <c r="D6">
        <f>(11865*C6*10^-3)/(4.95-$B$1-C6*10^-3)</f>
        <v>9299.594594594595</v>
      </c>
      <c r="E6">
        <f t="shared" si="1"/>
        <v>2.3388116308470293E-4</v>
      </c>
      <c r="F6">
        <f t="shared" si="2"/>
        <v>1.3299747594306814</v>
      </c>
      <c r="H6">
        <f t="shared" si="3"/>
        <v>5.0000000000000001E-3</v>
      </c>
      <c r="I6">
        <v>1</v>
      </c>
      <c r="J6">
        <v>768</v>
      </c>
      <c r="K6">
        <f t="shared" si="4"/>
        <v>2153.194706994329</v>
      </c>
      <c r="L6">
        <f t="shared" si="5"/>
        <v>3.5667930889169829E-4</v>
      </c>
      <c r="M6">
        <f t="shared" si="6"/>
        <v>1.1466920878622473</v>
      </c>
      <c r="O6">
        <f t="shared" si="7"/>
        <v>5.0000000000000001E-3</v>
      </c>
      <c r="P6">
        <v>1</v>
      </c>
      <c r="Q6">
        <v>1212</v>
      </c>
      <c r="R6">
        <f>(11865*Q6*10^-3)/(4.95-$B$1-Q6*10^-3)</f>
        <v>3847.0786516853932</v>
      </c>
      <c r="S6">
        <f t="shared" si="8"/>
        <v>3.1504424778761064E-4</v>
      </c>
      <c r="T6">
        <f t="shared" si="9"/>
        <v>1.2005984498465634</v>
      </c>
    </row>
    <row r="24" spans="1:6" x14ac:dyDescent="0.3">
      <c r="A24">
        <f>5*10^-3</f>
        <v>5.0000000000000001E-3</v>
      </c>
      <c r="B24">
        <v>0.1</v>
      </c>
      <c r="C24">
        <v>909</v>
      </c>
      <c r="D24">
        <f>(11865*C24*10^-3)/(4.95-$B$1-C24*10^-3)</f>
        <v>2668.9643652561244</v>
      </c>
      <c r="E24">
        <f>4.95/(11865+D24)</f>
        <v>3.4058154235145385E-4</v>
      </c>
      <c r="F24">
        <f>LOG10(A24/E24)</f>
        <v>1.1667488964467285</v>
      </c>
    </row>
    <row r="25" spans="1:6" x14ac:dyDescent="0.3">
      <c r="A25">
        <f t="shared" ref="A25:A28" si="10">5*10^-3</f>
        <v>5.0000000000000001E-3</v>
      </c>
      <c r="B25">
        <v>0.25</v>
      </c>
      <c r="C25">
        <v>1365</v>
      </c>
      <c r="D25">
        <f>(11865*C25*10^-3)/(4.95-$B$1-C25*10^-3)</f>
        <v>4517.6359832635981</v>
      </c>
      <c r="E25">
        <f t="shared" ref="E25:E28" si="11">4.95/(11865+D25)</f>
        <v>3.0214917825537296E-4</v>
      </c>
      <c r="F25">
        <f t="shared" ref="F25:F28" si="12">LOG10(A25/E25)</f>
        <v>1.2187485868855576</v>
      </c>
    </row>
    <row r="26" spans="1:6" x14ac:dyDescent="0.3">
      <c r="A26">
        <f t="shared" si="10"/>
        <v>5.0000000000000001E-3</v>
      </c>
      <c r="B26">
        <v>0.5</v>
      </c>
      <c r="C26">
        <v>2086</v>
      </c>
      <c r="D26">
        <f>(11865*C26*10^-3)/(4.95-$B$1-C26*10^-3)</f>
        <v>8641.8959497206688</v>
      </c>
      <c r="E26">
        <f t="shared" si="11"/>
        <v>2.4138221660345558E-4</v>
      </c>
      <c r="F26">
        <f t="shared" si="12"/>
        <v>1.3162647332535586</v>
      </c>
    </row>
    <row r="27" spans="1:6" x14ac:dyDescent="0.3">
      <c r="A27">
        <f t="shared" si="10"/>
        <v>5.0000000000000001E-3</v>
      </c>
      <c r="B27">
        <v>0.75</v>
      </c>
      <c r="C27">
        <v>2467</v>
      </c>
      <c r="D27">
        <f>(11865*C27*10^-3)/(4.95-$B$1-C27*10^-3)</f>
        <v>11788.544099879178</v>
      </c>
      <c r="E27">
        <f t="shared" si="11"/>
        <v>2.0927096502317742E-4</v>
      </c>
      <c r="F27">
        <f t="shared" si="12"/>
        <v>1.3782610273348124</v>
      </c>
    </row>
    <row r="28" spans="1:6" x14ac:dyDescent="0.3">
      <c r="A28">
        <f t="shared" si="10"/>
        <v>5.0000000000000001E-3</v>
      </c>
      <c r="B28">
        <v>1</v>
      </c>
      <c r="C28">
        <v>2537</v>
      </c>
      <c r="D28">
        <f>(11865*C28*10^-3)/(4.95-$B$1-C28*10^-3)</f>
        <v>12474.72233733941</v>
      </c>
      <c r="E28">
        <f t="shared" si="11"/>
        <v>2.0337126000842819E-4</v>
      </c>
      <c r="F28">
        <f t="shared" si="12"/>
        <v>1.3906804249805906</v>
      </c>
    </row>
  </sheetData>
  <mergeCells count="3">
    <mergeCell ref="A1:F1"/>
    <mergeCell ref="H1:M1"/>
    <mergeCell ref="O1:T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F3BE9-5876-42E3-A7E5-83156349C258}">
  <dimension ref="A1:U52"/>
  <sheetViews>
    <sheetView tabSelected="1" workbookViewId="0">
      <selection activeCell="C2" sqref="C2"/>
    </sheetView>
  </sheetViews>
  <sheetFormatPr baseColWidth="10" defaultRowHeight="14.4" x14ac:dyDescent="0.3"/>
  <sheetData>
    <row r="1" spans="1:20" x14ac:dyDescent="0.3">
      <c r="A1" s="1" t="s">
        <v>1</v>
      </c>
      <c r="B1" s="1"/>
      <c r="C1" s="1"/>
      <c r="D1" s="1"/>
      <c r="E1" s="1"/>
      <c r="F1" s="1"/>
      <c r="H1" s="1" t="s">
        <v>2</v>
      </c>
      <c r="I1" s="1"/>
      <c r="J1" s="1"/>
      <c r="K1" s="1"/>
      <c r="L1" s="1"/>
      <c r="M1" s="1"/>
      <c r="O1" s="1" t="s">
        <v>3</v>
      </c>
      <c r="P1" s="1"/>
      <c r="Q1" s="1"/>
      <c r="R1" s="1"/>
      <c r="S1" s="1"/>
      <c r="T1" s="1"/>
    </row>
    <row r="2" spans="1:20" x14ac:dyDescent="0.3">
      <c r="A2">
        <f>5*10^-3</f>
        <v>5.0000000000000001E-3</v>
      </c>
      <c r="B2">
        <v>0.1</v>
      </c>
      <c r="C2">
        <v>658</v>
      </c>
      <c r="D2">
        <f>(11865*C2*10^-3)/(4.95-$B$1-C2*10^-3)</f>
        <v>1819.0051258154708</v>
      </c>
      <c r="E2">
        <f>4.95/(11865+D2)</f>
        <v>3.6173619890434052E-4</v>
      </c>
      <c r="F2">
        <f>LOG10(A2/E2)</f>
        <v>1.1405780335954632</v>
      </c>
      <c r="H2">
        <f>5*10^-3</f>
        <v>5.0000000000000001E-3</v>
      </c>
      <c r="I2">
        <v>0.1</v>
      </c>
      <c r="J2">
        <v>475</v>
      </c>
      <c r="K2">
        <f>(11865*J2*10^-3)/(4.95-$B$1-J2*10^-3)</f>
        <v>1259.4134078212289</v>
      </c>
      <c r="L2">
        <f>5/(11865+K2)</f>
        <v>3.8096940751808009E-4</v>
      </c>
      <c r="M2">
        <f>LOG10(H2/L2)</f>
        <v>1.1180799018349958</v>
      </c>
      <c r="O2">
        <f>5*10^-3</f>
        <v>5.0000000000000001E-3</v>
      </c>
      <c r="P2">
        <v>0.1</v>
      </c>
      <c r="Q2">
        <v>349</v>
      </c>
      <c r="R2">
        <f>(11865*Q2*10^-3)/(4.95-$B$1-Q2*10^-3)</f>
        <v>899.99673983916546</v>
      </c>
      <c r="S2">
        <f>4.95/(11865+R2)</f>
        <v>3.8777918246944796E-4</v>
      </c>
      <c r="T2">
        <f>LOG10(O2/S2)</f>
        <v>1.1103855136245804</v>
      </c>
    </row>
    <row r="3" spans="1:20" x14ac:dyDescent="0.3">
      <c r="A3">
        <f t="shared" ref="A3:A6" si="0">5*10^-3</f>
        <v>5.0000000000000001E-3</v>
      </c>
      <c r="B3">
        <v>0.25</v>
      </c>
      <c r="C3">
        <v>1581</v>
      </c>
      <c r="D3">
        <f>(11865*C3*10^-3)/(4.95-$B$1-C3*10^-3)</f>
        <v>5567.9919857524483</v>
      </c>
      <c r="E3">
        <f t="shared" ref="E3:E6" si="1">4.95/(11865+D3)</f>
        <v>2.8394437420986096E-4</v>
      </c>
      <c r="F3">
        <f t="shared" ref="F3:F6" si="2">LOG10(A3/E3)</f>
        <v>1.2457367359082563</v>
      </c>
      <c r="H3">
        <f t="shared" ref="H3:H6" si="3">5*10^-3</f>
        <v>5.0000000000000001E-3</v>
      </c>
      <c r="I3">
        <v>0.25</v>
      </c>
      <c r="J3">
        <v>580</v>
      </c>
      <c r="K3">
        <f>(11865*J3*10^-3)/(4.95-$B$1-J3*10^-3)</f>
        <v>1574.7597254004577</v>
      </c>
      <c r="L3">
        <f t="shared" ref="L3:L6" si="4">4.95/(11865+K3)</f>
        <v>3.6831015592077543E-4</v>
      </c>
      <c r="M3">
        <f t="shared" ref="M3:M6" si="5">LOG10(H3/L3)</f>
        <v>1.1327563099189548</v>
      </c>
      <c r="O3">
        <f t="shared" ref="O3:O6" si="6">5*10^-3</f>
        <v>5.0000000000000001E-3</v>
      </c>
      <c r="P3">
        <v>0.25</v>
      </c>
      <c r="Q3">
        <v>365</v>
      </c>
      <c r="R3">
        <f>(11865*Q3*10^-3)/(4.95-$B$1-Q3*10^-3)</f>
        <v>944.54198473282452</v>
      </c>
      <c r="S3">
        <f t="shared" ref="S3:S6" si="7">4.95/(11865+R3)</f>
        <v>3.8643067846607672E-4</v>
      </c>
      <c r="T3">
        <f t="shared" ref="T3:T6" si="8">LOG10(O3/S3)</f>
        <v>1.1118984068833366</v>
      </c>
    </row>
    <row r="4" spans="1:20" x14ac:dyDescent="0.3">
      <c r="A4">
        <f t="shared" si="0"/>
        <v>5.0000000000000001E-3</v>
      </c>
      <c r="B4">
        <v>0.5</v>
      </c>
      <c r="C4">
        <v>3700</v>
      </c>
      <c r="D4">
        <f>(11865*C4*10^-3)/(4.95-$B$1-C4*10^-3)</f>
        <v>35120.400000000001</v>
      </c>
      <c r="E4">
        <f t="shared" si="1"/>
        <v>1.0535187526337969E-4</v>
      </c>
      <c r="F4">
        <f t="shared" si="2"/>
        <v>1.6763277338813203</v>
      </c>
      <c r="H4">
        <f t="shared" si="3"/>
        <v>5.0000000000000001E-3</v>
      </c>
      <c r="I4">
        <v>0.5</v>
      </c>
      <c r="J4">
        <v>801</v>
      </c>
      <c r="K4">
        <f>(11865*J4*10^-3)/(4.95-$B$1-J4*10^-3)</f>
        <v>2290.6399132321039</v>
      </c>
      <c r="L4">
        <f t="shared" si="4"/>
        <v>3.496839443742099E-4</v>
      </c>
      <c r="M4">
        <f t="shared" si="5"/>
        <v>1.1552943120604036</v>
      </c>
      <c r="O4">
        <f t="shared" si="6"/>
        <v>5.0000000000000001E-3</v>
      </c>
      <c r="P4">
        <v>0.5</v>
      </c>
      <c r="Q4">
        <v>382</v>
      </c>
      <c r="R4">
        <f>(11865*Q4*10^-3)/(4.95-$B$1-Q4*10^-3)</f>
        <v>992.21322241681253</v>
      </c>
      <c r="S4">
        <f t="shared" si="7"/>
        <v>3.8499789296249473E-4</v>
      </c>
      <c r="T4">
        <f t="shared" si="8"/>
        <v>1.1135116516515851</v>
      </c>
    </row>
    <row r="5" spans="1:20" x14ac:dyDescent="0.3">
      <c r="A5">
        <f t="shared" si="0"/>
        <v>5.0000000000000001E-3</v>
      </c>
      <c r="B5">
        <v>0.75</v>
      </c>
      <c r="C5">
        <v>4206</v>
      </c>
      <c r="D5">
        <f>(11865*C5*10^-3)/(4.95-$B$1-C5*10^-3)</f>
        <v>67075.524193548408</v>
      </c>
      <c r="E5">
        <f t="shared" si="1"/>
        <v>6.2705436156763582E-5</v>
      </c>
      <c r="F5">
        <f t="shared" si="2"/>
        <v>1.901664811343498</v>
      </c>
      <c r="H5">
        <f t="shared" si="3"/>
        <v>5.0000000000000001E-3</v>
      </c>
      <c r="I5">
        <v>0.75</v>
      </c>
      <c r="J5">
        <v>1073</v>
      </c>
      <c r="K5">
        <f>(11865*J5*10^-3)/(4.95-$B$1-J5*10^-3)</f>
        <v>3283.761929326799</v>
      </c>
      <c r="L5">
        <f t="shared" si="4"/>
        <v>3.2675937631689841E-4</v>
      </c>
      <c r="M5">
        <f t="shared" si="5"/>
        <v>1.1847419458821666</v>
      </c>
      <c r="O5">
        <f t="shared" si="6"/>
        <v>5.0000000000000001E-3</v>
      </c>
      <c r="P5">
        <v>0.75</v>
      </c>
      <c r="Q5">
        <v>397</v>
      </c>
      <c r="R5">
        <f>(11865*Q5*10^-3)/(4.95-$B$1-Q5*10^-3)</f>
        <v>1034.5717109598068</v>
      </c>
      <c r="S5">
        <f t="shared" si="7"/>
        <v>3.8373367045933419E-4</v>
      </c>
      <c r="T5">
        <f t="shared" si="8"/>
        <v>1.1149400965811866</v>
      </c>
    </row>
    <row r="6" spans="1:20" x14ac:dyDescent="0.3">
      <c r="A6">
        <f t="shared" si="0"/>
        <v>5.0000000000000001E-3</v>
      </c>
      <c r="B6">
        <v>1</v>
      </c>
      <c r="C6">
        <v>4356</v>
      </c>
      <c r="D6">
        <f>(11865*C6*10^-3)/(4.95-$B$1-C6*10^-3)</f>
        <v>87009.999999999956</v>
      </c>
      <c r="E6">
        <f t="shared" si="1"/>
        <v>5.0063211125158051E-5</v>
      </c>
      <c r="F6">
        <f t="shared" si="2"/>
        <v>1.9994513019081828</v>
      </c>
      <c r="H6">
        <f t="shared" si="3"/>
        <v>5.0000000000000001E-3</v>
      </c>
      <c r="I6">
        <v>1</v>
      </c>
      <c r="J6">
        <v>1263</v>
      </c>
      <c r="K6">
        <f>(11865*J6*10^-3)/(4.95-$B$1-J6*10^-3)</f>
        <v>4064.414157851912</v>
      </c>
      <c r="L6">
        <f t="shared" si="4"/>
        <v>3.1074589127686472E-4</v>
      </c>
      <c r="M6">
        <f t="shared" si="5"/>
        <v>1.20656460928326</v>
      </c>
      <c r="O6">
        <f t="shared" si="6"/>
        <v>5.0000000000000001E-3</v>
      </c>
      <c r="P6">
        <v>1</v>
      </c>
      <c r="Q6">
        <v>407</v>
      </c>
      <c r="R6">
        <f>(11865*Q6*10^-3)/(4.95-$B$1-Q6*10^-3)</f>
        <v>1062.9661016949153</v>
      </c>
      <c r="S6">
        <f t="shared" si="7"/>
        <v>3.8289085545722713E-4</v>
      </c>
      <c r="T6">
        <f t="shared" si="8"/>
        <v>1.1158950100747504</v>
      </c>
    </row>
    <row r="25" spans="1:21" x14ac:dyDescent="0.3">
      <c r="A25">
        <f>0.51*10^-3</f>
        <v>5.1000000000000004E-4</v>
      </c>
      <c r="B25">
        <v>0.1</v>
      </c>
      <c r="C25">
        <v>1105</v>
      </c>
      <c r="D25">
        <f>(11865*C25*10^-3)/(4.95-$B$1-C25*10^-3)</f>
        <v>3409.8374512353707</v>
      </c>
      <c r="E25">
        <f>5/(11865+D25)</f>
        <v>3.2733572556581402E-4</v>
      </c>
      <c r="F25">
        <f>LOG10(A25/E25)</f>
        <v>0.19257676911139435</v>
      </c>
      <c r="H25">
        <f t="shared" ref="H25:H29" si="9">0.51*10^-3</f>
        <v>5.1000000000000004E-4</v>
      </c>
      <c r="I25">
        <v>0.1</v>
      </c>
      <c r="J25">
        <v>1105</v>
      </c>
      <c r="K25">
        <f>(11865*J25*10^-3)/(4.95-$B$1-J25*10^-3)</f>
        <v>3409.8374512353707</v>
      </c>
      <c r="L25">
        <f>4.95/(11865+K25)</f>
        <v>3.2406236831015594E-4</v>
      </c>
      <c r="M25">
        <f>LOG10(H25/L25)</f>
        <v>0.19694157451384431</v>
      </c>
      <c r="P25">
        <f>5*10^-3</f>
        <v>5.0000000000000001E-3</v>
      </c>
      <c r="Q25">
        <v>0.1</v>
      </c>
      <c r="R25">
        <v>966</v>
      </c>
      <c r="S25">
        <f>(11865*R25*10^-3)/(4.95-$B$1-R25*10^-3)</f>
        <v>2876.905120481928</v>
      </c>
      <c r="T25">
        <f>4.95/(11865+S25)</f>
        <v>3.3577749683944377E-4</v>
      </c>
      <c r="U25">
        <f>LOG10(P25/T25)</f>
        <v>1.1729184171377154</v>
      </c>
    </row>
    <row r="26" spans="1:21" x14ac:dyDescent="0.3">
      <c r="A26">
        <f t="shared" ref="A26:A29" si="10">0.51*10^-3</f>
        <v>5.1000000000000004E-4</v>
      </c>
      <c r="B26">
        <v>0.25</v>
      </c>
      <c r="C26">
        <v>1809</v>
      </c>
      <c r="D26">
        <f>(11865*C26*10^-3)/(4.95-$B$1-C26*10^-3)</f>
        <v>6833.4240687679085</v>
      </c>
      <c r="E26">
        <f t="shared" ref="E26:E29" si="11">4.95/(11865+D26)</f>
        <v>2.6472819216182046E-4</v>
      </c>
      <c r="F26">
        <f t="shared" ref="F26:F29" si="12">LOG10(A26/E26)</f>
        <v>0.28476998225278949</v>
      </c>
      <c r="H26">
        <f t="shared" si="9"/>
        <v>5.1000000000000004E-4</v>
      </c>
      <c r="I26">
        <v>0.25</v>
      </c>
      <c r="J26">
        <v>1325</v>
      </c>
      <c r="K26">
        <f>(11865*J26*10^-3)/(4.95-$B$1-J26*10^-3)</f>
        <v>4336.8620689655172</v>
      </c>
      <c r="L26">
        <f t="shared" ref="L26:L29" si="13">4.95/(11865+K26)</f>
        <v>3.0552043826380111E-4</v>
      </c>
      <c r="M26">
        <f t="shared" ref="M26:M29" si="14">LOG10(H26/L26)</f>
        <v>0.22252990774428169</v>
      </c>
      <c r="P26">
        <f t="shared" ref="P26:P29" si="15">5*10^-3</f>
        <v>5.0000000000000001E-3</v>
      </c>
      <c r="Q26">
        <v>0.25</v>
      </c>
      <c r="R26">
        <v>1055</v>
      </c>
      <c r="S26">
        <f>(11865*R26*10^-3)/(4.95-$B$1-R26*10^-3)</f>
        <v>3213.7548138639281</v>
      </c>
      <c r="T26">
        <f t="shared" ref="T26:T29" si="16">4.95/(11865+S26)</f>
        <v>3.282764433206911E-4</v>
      </c>
      <c r="U26">
        <f t="shared" ref="U26:U29" si="17">LOG10(P26/T26)</f>
        <v>1.1827302848807932</v>
      </c>
    </row>
    <row r="27" spans="1:21" x14ac:dyDescent="0.3">
      <c r="A27">
        <f t="shared" si="10"/>
        <v>5.1000000000000004E-4</v>
      </c>
      <c r="B27">
        <v>0.5</v>
      </c>
      <c r="C27">
        <v>2277</v>
      </c>
      <c r="D27">
        <f>(11865*C27*10^-3)/(4.95-$B$1-C27*10^-3)</f>
        <v>10107.222222222223</v>
      </c>
      <c r="E27">
        <f t="shared" si="11"/>
        <v>2.2528445006321114E-4</v>
      </c>
      <c r="F27">
        <f t="shared" si="12"/>
        <v>0.35483895989475694</v>
      </c>
      <c r="H27">
        <f t="shared" si="9"/>
        <v>5.1000000000000004E-4</v>
      </c>
      <c r="I27">
        <v>0.5</v>
      </c>
      <c r="J27">
        <v>1555</v>
      </c>
      <c r="K27">
        <f>(11865*J27*10^-3)/(4.95-$B$1-J27*10^-3)</f>
        <v>5434.4845360824738</v>
      </c>
      <c r="L27">
        <f t="shared" si="13"/>
        <v>2.8613569321533927E-4</v>
      </c>
      <c r="M27">
        <f t="shared" si="14"/>
        <v>0.25099814003477366</v>
      </c>
      <c r="P27">
        <f t="shared" si="15"/>
        <v>5.0000000000000001E-3</v>
      </c>
      <c r="Q27">
        <v>0.5</v>
      </c>
      <c r="R27">
        <v>1116</v>
      </c>
      <c r="S27">
        <f>(11865*R27*10^-3)/(4.95-$B$1-R27*10^-3)</f>
        <v>3453.6619718309857</v>
      </c>
      <c r="T27">
        <f t="shared" si="16"/>
        <v>3.2313527180783823E-4</v>
      </c>
      <c r="U27">
        <f t="shared" si="17"/>
        <v>1.1895856383473327</v>
      </c>
    </row>
    <row r="28" spans="1:21" x14ac:dyDescent="0.3">
      <c r="A28">
        <f t="shared" si="10"/>
        <v>5.1000000000000004E-4</v>
      </c>
      <c r="B28">
        <v>0.75</v>
      </c>
      <c r="C28">
        <v>2502</v>
      </c>
      <c r="D28">
        <f>(11865*C28*10^-3)/(4.95-$B$1-C28*10^-3)</f>
        <v>12126.72794117647</v>
      </c>
      <c r="E28">
        <f t="shared" si="11"/>
        <v>2.0632111251580281E-4</v>
      </c>
      <c r="F28">
        <f t="shared" si="12"/>
        <v>0.39302650517777055</v>
      </c>
      <c r="H28">
        <f t="shared" si="9"/>
        <v>5.1000000000000004E-4</v>
      </c>
      <c r="I28">
        <v>0.75</v>
      </c>
      <c r="J28">
        <v>1785</v>
      </c>
      <c r="K28">
        <f>(11865*J28*10^-3)/(4.95-$B$1-J28*10^-3)</f>
        <v>6691.6350710900479</v>
      </c>
      <c r="L28">
        <f t="shared" si="13"/>
        <v>2.6675094816687738E-4</v>
      </c>
      <c r="M28">
        <f t="shared" si="14"/>
        <v>0.2814642042979203</v>
      </c>
      <c r="P28">
        <f t="shared" si="15"/>
        <v>5.0000000000000001E-3</v>
      </c>
      <c r="Q28">
        <v>0.75</v>
      </c>
      <c r="R28">
        <v>1158</v>
      </c>
      <c r="S28">
        <f>(11865*R28*10^-3)/(4.95-$B$1-R28*10^-3)</f>
        <v>3623.3306962025313</v>
      </c>
      <c r="T28">
        <f t="shared" si="16"/>
        <v>3.1959544879898863E-4</v>
      </c>
      <c r="U28">
        <f t="shared" si="17"/>
        <v>1.194369418223348</v>
      </c>
    </row>
    <row r="29" spans="1:21" x14ac:dyDescent="0.3">
      <c r="A29">
        <f t="shared" si="10"/>
        <v>5.1000000000000004E-4</v>
      </c>
      <c r="B29">
        <v>1</v>
      </c>
      <c r="C29">
        <v>2555</v>
      </c>
      <c r="D29">
        <f>(11865*C29*10^-3)/(4.95-$B$1-C29*10^-3)</f>
        <v>12657.651356993738</v>
      </c>
      <c r="E29">
        <f t="shared" si="11"/>
        <v>2.0185419300463548E-4</v>
      </c>
      <c r="F29">
        <f t="shared" si="12"/>
        <v>0.40253240090071218</v>
      </c>
      <c r="H29">
        <f t="shared" si="9"/>
        <v>5.1000000000000004E-4</v>
      </c>
      <c r="I29">
        <v>1</v>
      </c>
      <c r="J29">
        <v>1940</v>
      </c>
      <c r="K29">
        <f>(11865*J29*10^-3)/(4.95-$B$1-J29*10^-3)</f>
        <v>7647.2093023255811</v>
      </c>
      <c r="L29">
        <f t="shared" si="13"/>
        <v>2.5368731563421831E-4</v>
      </c>
      <c r="M29">
        <f t="shared" si="14"/>
        <v>0.30327142305745081</v>
      </c>
      <c r="P29">
        <f t="shared" si="15"/>
        <v>5.0000000000000001E-3</v>
      </c>
      <c r="Q29">
        <v>1</v>
      </c>
      <c r="R29">
        <v>1175</v>
      </c>
      <c r="S29">
        <f>(11865*R29*10^-3)/(4.95-$B$1-R29*10^-3)</f>
        <v>3693.0794701986752</v>
      </c>
      <c r="T29">
        <f t="shared" si="16"/>
        <v>3.181626632954067E-4</v>
      </c>
      <c r="U29">
        <f t="shared" si="17"/>
        <v>1.1963207909241695</v>
      </c>
    </row>
    <row r="48" spans="1:20" x14ac:dyDescent="0.3">
      <c r="A48">
        <f>0.04*10^-3</f>
        <v>4.0000000000000003E-5</v>
      </c>
      <c r="B48">
        <v>0.1</v>
      </c>
      <c r="C48">
        <v>1695</v>
      </c>
      <c r="D48">
        <f>(11865*C48*10^-3)/(4.95-$B$1-C48*10^-3)</f>
        <v>6178.5483870967746</v>
      </c>
      <c r="E48">
        <f>4.95/(11865+D48)</f>
        <v>2.7433628318584074E-4</v>
      </c>
      <c r="F48">
        <f>LOG10(A48/E48)</f>
        <v>-0.83622325902289052</v>
      </c>
      <c r="H48">
        <f>0.04*10^-3</f>
        <v>4.0000000000000003E-5</v>
      </c>
      <c r="I48">
        <v>0.1</v>
      </c>
      <c r="J48">
        <v>1666</v>
      </c>
      <c r="K48">
        <f>(11865*J48*10^-3)/(4.95-$B$1-J48*10^-3)</f>
        <v>6019.2113276492082</v>
      </c>
      <c r="L48">
        <f>4.95/(11865+K48)</f>
        <v>2.7678044669195113E-4</v>
      </c>
      <c r="M48">
        <f>LOG10(H48/L48)</f>
        <v>-0.84007541456608303</v>
      </c>
      <c r="O48">
        <f>0.04*10^-3</f>
        <v>4.0000000000000003E-5</v>
      </c>
      <c r="P48">
        <v>0.1</v>
      </c>
      <c r="Q48">
        <v>1546</v>
      </c>
      <c r="R48">
        <f>(11865*Q48*10^-3)/(4.95-$B$1-Q48*10^-3)</f>
        <v>5388.7455934195068</v>
      </c>
      <c r="S48">
        <f>4.95/(11865+R48)</f>
        <v>2.8689422671723558E-4</v>
      </c>
      <c r="T48">
        <f>LOG10(O48/S48)</f>
        <v>-0.85566181753123016</v>
      </c>
    </row>
    <row r="49" spans="1:20" x14ac:dyDescent="0.3">
      <c r="A49">
        <f t="shared" ref="A49:A52" si="18">0.04*10^-3</f>
        <v>4.0000000000000003E-5</v>
      </c>
      <c r="B49">
        <v>0.25</v>
      </c>
      <c r="C49">
        <v>2087</v>
      </c>
      <c r="D49">
        <f>(11865*C49*10^-3)/(4.95-$B$1-C49*10^-3)</f>
        <v>8649.0586797066026</v>
      </c>
      <c r="E49">
        <f t="shared" ref="E49:E52" si="19">4.95/(11865+D49)</f>
        <v>2.4129793510324483E-4</v>
      </c>
      <c r="F49">
        <f t="shared" ref="F49:F52" si="20">LOG10(A49/E49)</f>
        <v>-0.7804936141402784</v>
      </c>
      <c r="H49">
        <f t="shared" ref="H49:H52" si="21">0.04*10^-3</f>
        <v>4.0000000000000003E-5</v>
      </c>
      <c r="I49">
        <v>0.25</v>
      </c>
      <c r="J49">
        <v>1967</v>
      </c>
      <c r="K49">
        <f>(11865*J49*10^-3)/(4.95-$B$1-J49*10^-3)</f>
        <v>7823.8199798860214</v>
      </c>
      <c r="L49">
        <f t="shared" ref="L49:L52" si="22">4.95/(11865+K49)</f>
        <v>2.5141171512852925E-4</v>
      </c>
      <c r="M49">
        <f t="shared" ref="M49:M52" si="23">LOG10(H49/L49)</f>
        <v>-0.79832551948074237</v>
      </c>
      <c r="O49">
        <f t="shared" ref="O49:O52" si="24">0.04*10^-3</f>
        <v>4.0000000000000003E-5</v>
      </c>
      <c r="P49">
        <v>0.25</v>
      </c>
      <c r="Q49">
        <v>1767</v>
      </c>
      <c r="R49">
        <f>(11865*Q49*10^-3)/(4.95-$B$1-Q49*10^-3)</f>
        <v>6586.6965127238464</v>
      </c>
      <c r="S49">
        <f t="shared" ref="S49:S52" si="25">4.95/(11865+R49)</f>
        <v>2.6826801517067E-4</v>
      </c>
      <c r="T49">
        <f t="shared" ref="T49:T52" si="26">LOG10(O49/S49)</f>
        <v>-0.82650890473968286</v>
      </c>
    </row>
    <row r="50" spans="1:20" x14ac:dyDescent="0.3">
      <c r="A50">
        <f t="shared" si="18"/>
        <v>4.0000000000000003E-5</v>
      </c>
      <c r="B50">
        <v>0.5</v>
      </c>
      <c r="C50">
        <v>2328</v>
      </c>
      <c r="D50">
        <f>(11865*C50*10^-3)/(4.95-$B$1-C50*10^-3)</f>
        <v>10534.599542334096</v>
      </c>
      <c r="E50">
        <f t="shared" si="19"/>
        <v>2.2098609355246526E-4</v>
      </c>
      <c r="F50">
        <f t="shared" si="20"/>
        <v>-0.74230495347274528</v>
      </c>
      <c r="H50">
        <f t="shared" si="21"/>
        <v>4.0000000000000003E-5</v>
      </c>
      <c r="I50">
        <v>0.5</v>
      </c>
      <c r="J50">
        <v>2190</v>
      </c>
      <c r="K50">
        <f>(11865*J50*10^-3)/(4.95-$B$1-J50*10^-3)</f>
        <v>9414.6195652173919</v>
      </c>
      <c r="L50">
        <f t="shared" si="22"/>
        <v>2.3261694058154236E-4</v>
      </c>
      <c r="M50">
        <f t="shared" si="23"/>
        <v>-0.76458134818389745</v>
      </c>
      <c r="O50">
        <f t="shared" si="24"/>
        <v>4.0000000000000003E-5</v>
      </c>
      <c r="P50">
        <v>0.5</v>
      </c>
      <c r="Q50">
        <v>1913</v>
      </c>
      <c r="R50">
        <f>(11865*Q50*10^-3)/(4.95-$B$1-Q50*10^-3)</f>
        <v>7473.7388870595978</v>
      </c>
      <c r="S50">
        <f t="shared" si="25"/>
        <v>2.559629161399073E-4</v>
      </c>
      <c r="T50">
        <f t="shared" si="26"/>
        <v>-0.806117058036945</v>
      </c>
    </row>
    <row r="51" spans="1:20" x14ac:dyDescent="0.3">
      <c r="A51">
        <f t="shared" si="18"/>
        <v>4.0000000000000003E-5</v>
      </c>
      <c r="B51">
        <v>0.75</v>
      </c>
      <c r="C51">
        <v>2520</v>
      </c>
      <c r="D51">
        <f>(11865*C51*10^-3)/(4.95-$B$1-C51*10^-3)</f>
        <v>12304.444444444443</v>
      </c>
      <c r="E51">
        <f t="shared" si="19"/>
        <v>2.0480404551201012E-4</v>
      </c>
      <c r="F51">
        <f t="shared" si="20"/>
        <v>-0.70927853971699195</v>
      </c>
      <c r="H51">
        <f t="shared" si="21"/>
        <v>4.0000000000000003E-5</v>
      </c>
      <c r="I51">
        <v>0.75</v>
      </c>
      <c r="J51">
        <v>2396</v>
      </c>
      <c r="K51">
        <f>(11865*J51*10^-3)/(4.95-$B$1-J51*10^-3)</f>
        <v>11130.986687548942</v>
      </c>
      <c r="L51">
        <f t="shared" si="22"/>
        <v>2.1525495153813738E-4</v>
      </c>
      <c r="M51">
        <f t="shared" si="23"/>
        <v>-0.73089315904607632</v>
      </c>
      <c r="O51">
        <f t="shared" si="24"/>
        <v>4.0000000000000003E-5</v>
      </c>
      <c r="P51">
        <v>0.75</v>
      </c>
      <c r="Q51">
        <v>2020</v>
      </c>
      <c r="R51">
        <f>(11865*Q51*10^-3)/(4.95-$B$1-Q51*10^-3)</f>
        <v>8179.9658703071664</v>
      </c>
      <c r="S51">
        <f t="shared" si="25"/>
        <v>2.46944795617362E-4</v>
      </c>
      <c r="T51">
        <f t="shared" si="26"/>
        <v>-0.79053988647278928</v>
      </c>
    </row>
    <row r="52" spans="1:20" x14ac:dyDescent="0.3">
      <c r="A52">
        <f t="shared" si="18"/>
        <v>4.0000000000000003E-5</v>
      </c>
      <c r="B52">
        <v>1</v>
      </c>
      <c r="C52">
        <v>2556</v>
      </c>
      <c r="D52">
        <f>(11865*C52*10^-3)/(4.95-$B$1-C52*10^-3)</f>
        <v>12667.894736842105</v>
      </c>
      <c r="E52">
        <f t="shared" si="19"/>
        <v>2.0176991150442478E-4</v>
      </c>
      <c r="F52">
        <f t="shared" si="20"/>
        <v>-0.70279641218907163</v>
      </c>
      <c r="H52">
        <f t="shared" si="21"/>
        <v>4.0000000000000003E-5</v>
      </c>
      <c r="I52">
        <v>1</v>
      </c>
      <c r="J52">
        <v>2460</v>
      </c>
      <c r="K52">
        <f>(11865*J52*10^-3)/(4.95-$B$1-J52*10^-3)</f>
        <v>11722.048192771084</v>
      </c>
      <c r="L52">
        <f t="shared" si="22"/>
        <v>2.0986093552465232E-4</v>
      </c>
      <c r="M52">
        <f t="shared" si="23"/>
        <v>-0.71987161321441606</v>
      </c>
      <c r="O52">
        <f t="shared" si="24"/>
        <v>4.0000000000000003E-5</v>
      </c>
      <c r="P52">
        <v>1</v>
      </c>
      <c r="Q52">
        <v>2045</v>
      </c>
      <c r="R52">
        <f>(11865*Q52*10^-3)/(4.95-$B$1-Q52*10^-3)</f>
        <v>8352.469879518072</v>
      </c>
      <c r="S52">
        <f t="shared" si="25"/>
        <v>2.448377581120944E-4</v>
      </c>
      <c r="T52">
        <f t="shared" si="26"/>
        <v>-0.78681840284502935</v>
      </c>
    </row>
  </sheetData>
  <mergeCells count="3">
    <mergeCell ref="A1:F1"/>
    <mergeCell ref="H1:M1"/>
    <mergeCell ref="O1:T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7F188-57F4-465B-ADF5-41CFDCE66D1A}">
  <dimension ref="A1:H5"/>
  <sheetViews>
    <sheetView workbookViewId="0">
      <selection activeCell="H6" sqref="H6"/>
    </sheetView>
  </sheetViews>
  <sheetFormatPr baseColWidth="10" defaultRowHeight="14.4" x14ac:dyDescent="0.3"/>
  <sheetData>
    <row r="1" spans="1:8" x14ac:dyDescent="0.3">
      <c r="B1" t="s">
        <v>9</v>
      </c>
      <c r="E1" t="s">
        <v>13</v>
      </c>
      <c r="H1" t="s">
        <v>14</v>
      </c>
    </row>
    <row r="2" spans="1:8" x14ac:dyDescent="0.3">
      <c r="B2" t="s">
        <v>10</v>
      </c>
      <c r="E2" t="s">
        <v>10</v>
      </c>
      <c r="H2" t="s">
        <v>10</v>
      </c>
    </row>
    <row r="3" spans="1:8" x14ac:dyDescent="0.3">
      <c r="A3" t="s">
        <v>8</v>
      </c>
      <c r="B3">
        <v>203</v>
      </c>
      <c r="D3" t="s">
        <v>8</v>
      </c>
      <c r="E3">
        <v>392</v>
      </c>
      <c r="G3" t="s">
        <v>8</v>
      </c>
      <c r="H3">
        <v>376</v>
      </c>
    </row>
    <row r="4" spans="1:8" x14ac:dyDescent="0.3">
      <c r="A4" t="s">
        <v>11</v>
      </c>
      <c r="B4">
        <v>814</v>
      </c>
      <c r="D4" t="s">
        <v>11</v>
      </c>
      <c r="E4">
        <v>1357</v>
      </c>
      <c r="G4" t="s">
        <v>11</v>
      </c>
      <c r="H4">
        <v>1314</v>
      </c>
    </row>
    <row r="5" spans="1:8" x14ac:dyDescent="0.3">
      <c r="A5" t="s">
        <v>12</v>
      </c>
      <c r="B5">
        <v>2564</v>
      </c>
      <c r="D5" t="s">
        <v>12</v>
      </c>
      <c r="E5">
        <v>3029</v>
      </c>
      <c r="G5" t="s">
        <v>12</v>
      </c>
      <c r="H5">
        <v>2646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AMARILLO</vt:lpstr>
      <vt:lpstr>VERDE</vt:lpstr>
      <vt:lpstr>AZUL</vt:lpstr>
      <vt:lpstr>NEUTRO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Bremdows</dc:creator>
  <cp:lastModifiedBy>Bremdows</cp:lastModifiedBy>
  <dcterms:created xsi:type="dcterms:W3CDTF">2026-03-06T16:58:11Z</dcterms:created>
  <dcterms:modified xsi:type="dcterms:W3CDTF">2026-03-10T01:09:30Z</dcterms:modified>
</cp:coreProperties>
</file>