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ws\UNSAAC\SEMESTRE X\LABORATORIO DE BIOINGENIERIA\lab-bioingenieria\3. FOTOCOLORIMETRIA Y ESPECTROMETRIA\ESPECTROMETRO\"/>
    </mc:Choice>
  </mc:AlternateContent>
  <xr:revisionPtr revIDLastSave="0" documentId="13_ncr:1_{DA80870A-CD8A-4E18-94FD-E89C034C75B4}" xr6:coauthVersionLast="47" xr6:coauthVersionMax="47" xr10:uidLastSave="{00000000-0000-0000-0000-000000000000}"/>
  <bookViews>
    <workbookView xWindow="0" yWindow="456" windowWidth="11520" windowHeight="12504" xr2:uid="{79ED53B8-130B-41A2-AA6B-A2A7B71B05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3" i="1"/>
  <c r="D8" i="1"/>
  <c r="E8" i="1" s="1"/>
  <c r="E9" i="1"/>
  <c r="E10" i="1"/>
  <c r="E11" i="1"/>
  <c r="E12" i="1"/>
  <c r="E13" i="1"/>
  <c r="L4" i="1"/>
  <c r="L5" i="1"/>
  <c r="L6" i="1"/>
  <c r="L7" i="1"/>
  <c r="L3" i="1"/>
  <c r="B13" i="1"/>
  <c r="C13" i="1" s="1"/>
  <c r="D13" i="1" s="1"/>
  <c r="B12" i="1"/>
  <c r="B11" i="1"/>
  <c r="C11" i="1" s="1"/>
  <c r="D11" i="1" s="1"/>
  <c r="B10" i="1"/>
  <c r="C10" i="1" s="1"/>
  <c r="D10" i="1" s="1"/>
  <c r="B9" i="1"/>
  <c r="B8" i="1"/>
  <c r="C8" i="1" s="1"/>
  <c r="H4" i="1"/>
  <c r="H5" i="1"/>
  <c r="H6" i="1"/>
  <c r="H3" i="1"/>
  <c r="C12" i="1"/>
  <c r="D12" i="1" s="1"/>
  <c r="C9" i="1"/>
  <c r="D9" i="1" s="1"/>
  <c r="A13" i="1"/>
  <c r="A12" i="1"/>
  <c r="A11" i="1"/>
  <c r="A10" i="1"/>
  <c r="A9" i="1"/>
  <c r="A8" i="1"/>
  <c r="D4" i="1"/>
  <c r="D5" i="1"/>
  <c r="D3" i="1"/>
  <c r="C5" i="1"/>
  <c r="C4" i="1"/>
  <c r="C3" i="1"/>
</calcChain>
</file>

<file path=xl/sharedStrings.xml><?xml version="1.0" encoding="utf-8"?>
<sst xmlns="http://schemas.openxmlformats.org/spreadsheetml/2006/main" count="20" uniqueCount="16">
  <si>
    <t>Vin</t>
  </si>
  <si>
    <t>Vd</t>
  </si>
  <si>
    <t>Rojo</t>
  </si>
  <si>
    <t>Verde</t>
  </si>
  <si>
    <t>Azul</t>
  </si>
  <si>
    <t>R</t>
  </si>
  <si>
    <t>I</t>
  </si>
  <si>
    <t>Rc</t>
  </si>
  <si>
    <t>IL</t>
  </si>
  <si>
    <t>PWM</t>
  </si>
  <si>
    <r>
      <t>R</t>
    </r>
    <r>
      <rPr>
        <sz val="9"/>
        <color theme="1"/>
        <rFont val="Calibri"/>
        <family val="2"/>
        <scheme val="minor"/>
      </rPr>
      <t>LDR</t>
    </r>
  </si>
  <si>
    <t>Vout</t>
  </si>
  <si>
    <t>R1</t>
  </si>
  <si>
    <t>Vsalida Arduino - Estimado</t>
  </si>
  <si>
    <t>e [%]</t>
  </si>
  <si>
    <r>
      <t>R</t>
    </r>
    <r>
      <rPr>
        <sz val="9"/>
        <color theme="1"/>
        <rFont val="Calibri"/>
        <family val="2"/>
        <scheme val="minor"/>
      </rPr>
      <t>LDR</t>
    </r>
    <r>
      <rPr>
        <sz val="11"/>
        <color theme="1"/>
        <rFont val="Calibri"/>
        <family val="2"/>
        <scheme val="minor"/>
      </rPr>
      <t xml:space="preserve"> Calc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</si>
</sst>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D226-ABCF-4CA3-8275-8C376B8FB6F3}">
  <dimension ref="A1:L13"/>
  <sheetViews>
    <sheetView tabSelected="1" topLeftCell="F1" workbookViewId="0">
      <selection activeCell="L18" sqref="L18"/>
    </sheetView>
  </sheetViews>
  <sheetFormatPr baseColWidth="10" defaultRowHeight="14.4" x14ac:dyDescent="0.3"/>
  <sheetData>
    <row r="1" spans="1:12" x14ac:dyDescent="0.3">
      <c r="A1" s="1" t="s">
        <v>0</v>
      </c>
      <c r="B1">
        <v>5</v>
      </c>
      <c r="G1" t="s">
        <v>12</v>
      </c>
      <c r="H1">
        <v>12000</v>
      </c>
    </row>
    <row r="2" spans="1:12" x14ac:dyDescent="0.3">
      <c r="A2" s="1"/>
      <c r="B2" t="s">
        <v>1</v>
      </c>
      <c r="C2" t="s">
        <v>6</v>
      </c>
      <c r="D2" t="s">
        <v>5</v>
      </c>
      <c r="E2" s="1" t="s">
        <v>7</v>
      </c>
      <c r="G2" t="s">
        <v>11</v>
      </c>
      <c r="H2" t="s">
        <v>10</v>
      </c>
      <c r="I2" t="s">
        <v>15</v>
      </c>
      <c r="J2" t="s">
        <v>14</v>
      </c>
      <c r="K2" t="s">
        <v>10</v>
      </c>
      <c r="L2" t="s">
        <v>11</v>
      </c>
    </row>
    <row r="3" spans="1:12" x14ac:dyDescent="0.3">
      <c r="A3" s="1" t="s">
        <v>2</v>
      </c>
      <c r="B3">
        <v>2.2000000000000002</v>
      </c>
      <c r="C3">
        <f>5*10^-3</f>
        <v>5.0000000000000001E-3</v>
      </c>
      <c r="D3">
        <f>($B$1-B3)/C3</f>
        <v>560</v>
      </c>
      <c r="E3" s="1">
        <v>560</v>
      </c>
      <c r="G3">
        <v>4.8550000000000003E-2</v>
      </c>
      <c r="H3">
        <f>$H$1*G3/($B$1-G3)</f>
        <v>117.66250290318997</v>
      </c>
      <c r="J3">
        <f>ABS(H3-I3)*100/H3</f>
        <v>100</v>
      </c>
      <c r="K3">
        <v>120</v>
      </c>
      <c r="L3">
        <f>K3*$B$1/(K3+$H$1)</f>
        <v>4.9504950495049507E-2</v>
      </c>
    </row>
    <row r="4" spans="1:12" x14ac:dyDescent="0.3">
      <c r="A4" s="1" t="s">
        <v>3</v>
      </c>
      <c r="B4">
        <v>3.3</v>
      </c>
      <c r="C4">
        <f>5*10^-3</f>
        <v>5.0000000000000001E-3</v>
      </c>
      <c r="D4">
        <f t="shared" ref="D4:D5" si="0">($B$1-B4)/C4</f>
        <v>340.00000000000006</v>
      </c>
      <c r="E4" s="1">
        <v>330</v>
      </c>
      <c r="G4">
        <v>0.55000000000000004</v>
      </c>
      <c r="H4">
        <f t="shared" ref="H4:H6" si="1">$H$1*G4/($B$1-G4)</f>
        <v>1483.1460674157304</v>
      </c>
      <c r="I4">
        <v>1475.3</v>
      </c>
      <c r="J4">
        <f t="shared" ref="J4:J5" si="2">ABS(H4-I4)*100/H4</f>
        <v>0.52901515151515788</v>
      </c>
      <c r="K4">
        <v>1475.3</v>
      </c>
      <c r="L4">
        <f t="shared" ref="L4:L7" si="3">K4*$B$1/(K4+$H$1)</f>
        <v>0.54740896306575737</v>
      </c>
    </row>
    <row r="5" spans="1:12" x14ac:dyDescent="0.3">
      <c r="A5" s="1" t="s">
        <v>4</v>
      </c>
      <c r="B5">
        <v>3.6</v>
      </c>
      <c r="C5">
        <f>5*10^-3</f>
        <v>5.0000000000000001E-3</v>
      </c>
      <c r="D5">
        <f t="shared" si="0"/>
        <v>280</v>
      </c>
      <c r="E5" s="1">
        <v>270</v>
      </c>
      <c r="G5">
        <v>0.5474</v>
      </c>
      <c r="H5">
        <f t="shared" si="1"/>
        <v>1475.272874275704</v>
      </c>
      <c r="J5">
        <f t="shared" si="2"/>
        <v>100</v>
      </c>
      <c r="L5">
        <f t="shared" si="3"/>
        <v>0</v>
      </c>
    </row>
    <row r="6" spans="1:12" x14ac:dyDescent="0.3">
      <c r="H6">
        <f t="shared" si="1"/>
        <v>0</v>
      </c>
      <c r="L6">
        <f t="shared" si="3"/>
        <v>0</v>
      </c>
    </row>
    <row r="7" spans="1:12" x14ac:dyDescent="0.3">
      <c r="A7" s="1" t="s">
        <v>8</v>
      </c>
      <c r="B7" s="1" t="s">
        <v>7</v>
      </c>
      <c r="C7" s="1" t="s">
        <v>0</v>
      </c>
      <c r="D7" s="1" t="s">
        <v>9</v>
      </c>
      <c r="E7" s="1" t="s">
        <v>13</v>
      </c>
      <c r="L7">
        <f t="shared" si="3"/>
        <v>0</v>
      </c>
    </row>
    <row r="8" spans="1:12" x14ac:dyDescent="0.3">
      <c r="A8">
        <f>0.5*10^-3</f>
        <v>5.0000000000000001E-4</v>
      </c>
      <c r="B8">
        <f>E3</f>
        <v>560</v>
      </c>
      <c r="C8">
        <f>B8*A8+$B$3</f>
        <v>2.4800000000000004</v>
      </c>
      <c r="D8" s="2">
        <f>ROUNDUP(C8*255/5,0)</f>
        <v>127</v>
      </c>
      <c r="E8">
        <f>D8*5/255</f>
        <v>2.4901960784313726</v>
      </c>
    </row>
    <row r="9" spans="1:12" x14ac:dyDescent="0.3">
      <c r="A9">
        <f>0.05*10^-3</f>
        <v>5.0000000000000002E-5</v>
      </c>
      <c r="B9">
        <f>E3</f>
        <v>560</v>
      </c>
      <c r="C9">
        <f>B9*A9+$B$3</f>
        <v>2.2280000000000002</v>
      </c>
      <c r="D9" s="2">
        <f t="shared" ref="D9:D13" si="4">ROUNDUP(C9*255/5,0)</f>
        <v>114</v>
      </c>
      <c r="E9">
        <f t="shared" ref="E9:E13" si="5">D9*5/255</f>
        <v>2.2352941176470589</v>
      </c>
    </row>
    <row r="10" spans="1:12" x14ac:dyDescent="0.3">
      <c r="A10">
        <f>0.5*10^-3</f>
        <v>5.0000000000000001E-4</v>
      </c>
      <c r="B10">
        <f>E4</f>
        <v>330</v>
      </c>
      <c r="C10">
        <f>B10*A10+$B$4</f>
        <v>3.4649999999999999</v>
      </c>
      <c r="D10" s="3">
        <f t="shared" si="4"/>
        <v>177</v>
      </c>
      <c r="E10">
        <f t="shared" si="5"/>
        <v>3.4705882352941178</v>
      </c>
    </row>
    <row r="11" spans="1:12" x14ac:dyDescent="0.3">
      <c r="A11">
        <f>0.05*10^-3</f>
        <v>5.0000000000000002E-5</v>
      </c>
      <c r="B11">
        <f>E4</f>
        <v>330</v>
      </c>
      <c r="C11">
        <f>B11*A11+$B$4</f>
        <v>3.3165</v>
      </c>
      <c r="D11" s="3">
        <f t="shared" si="4"/>
        <v>170</v>
      </c>
      <c r="E11">
        <f t="shared" si="5"/>
        <v>3.3333333333333335</v>
      </c>
    </row>
    <row r="12" spans="1:12" x14ac:dyDescent="0.3">
      <c r="A12">
        <f>0.5*10^-3</f>
        <v>5.0000000000000001E-4</v>
      </c>
      <c r="B12">
        <f>E5</f>
        <v>270</v>
      </c>
      <c r="C12">
        <f>B12*A12+$B$5</f>
        <v>3.7350000000000003</v>
      </c>
      <c r="D12" s="4">
        <f t="shared" si="4"/>
        <v>191</v>
      </c>
      <c r="E12">
        <f t="shared" si="5"/>
        <v>3.7450980392156863</v>
      </c>
    </row>
    <row r="13" spans="1:12" x14ac:dyDescent="0.3">
      <c r="A13">
        <f>0.05*10^-3</f>
        <v>5.0000000000000002E-5</v>
      </c>
      <c r="B13">
        <f>E5</f>
        <v>270</v>
      </c>
      <c r="C13">
        <f>B13*A13+$B$5</f>
        <v>3.6135000000000002</v>
      </c>
      <c r="D13" s="4">
        <f t="shared" si="4"/>
        <v>185</v>
      </c>
      <c r="E13">
        <f t="shared" si="5"/>
        <v>3.6274509803921569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Bremdows</dc:creator>
  <cp:lastModifiedBy>Bremdows</cp:lastModifiedBy>
  <dcterms:created xsi:type="dcterms:W3CDTF">2026-02-26T03:10:01Z</dcterms:created>
  <dcterms:modified xsi:type="dcterms:W3CDTF">2026-02-26T17:24:50Z</dcterms:modified>
</cp:coreProperties>
</file>